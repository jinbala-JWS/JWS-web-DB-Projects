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125" yWindow="540" windowWidth="16230" windowHeight="12240"/>
  </bookViews>
  <sheets>
    <sheet name="지출목적분류별 품목 및 가중치" sheetId="1" r:id="rId1"/>
  </sheets>
  <definedNames>
    <definedName name="_xlnm._FilterDatabase" localSheetId="0" hidden="1">'지출목적분류별 품목 및 가중치'!$A$5:$J$214</definedName>
  </definedNames>
  <calcPr calcId="124519"/>
</workbook>
</file>

<file path=xl/calcChain.xml><?xml version="1.0" encoding="utf-8"?>
<calcChain xmlns="http://schemas.openxmlformats.org/spreadsheetml/2006/main">
  <c r="G825" i="1"/>
  <c r="G824" s="1"/>
  <c r="G762"/>
  <c r="G740"/>
  <c r="G739" s="1"/>
  <c r="G731"/>
  <c r="G730" s="1"/>
  <c r="G726"/>
  <c r="G725" s="1"/>
  <c r="G702"/>
  <c r="G636"/>
  <c r="G635" s="1"/>
  <c r="G614"/>
  <c r="G590"/>
  <c r="G589" s="1"/>
  <c r="G586"/>
  <c r="G585" s="1"/>
  <c r="G581"/>
  <c r="G528"/>
  <c r="G527" s="1"/>
  <c r="G524"/>
  <c r="G452"/>
  <c r="G408"/>
  <c r="G363"/>
  <c r="G362" s="1"/>
  <c r="G352"/>
  <c r="G350"/>
  <c r="G341"/>
  <c r="G311"/>
  <c r="G310" s="1"/>
  <c r="G295"/>
  <c r="G277"/>
  <c r="G223"/>
  <c r="G222" s="1"/>
  <c r="G84"/>
  <c r="G735"/>
  <c r="G734"/>
  <c r="J34"/>
  <c r="G887" l="1"/>
  <c r="G886" s="1"/>
  <c r="G867"/>
  <c r="G866" s="1"/>
  <c r="G842"/>
  <c r="G833"/>
  <c r="G769"/>
  <c r="G768" s="1"/>
  <c r="G767" s="1"/>
  <c r="G747"/>
  <c r="G746" s="1"/>
  <c r="G729" s="1"/>
  <c r="G709"/>
  <c r="G691"/>
  <c r="G674"/>
  <c r="G660"/>
  <c r="G644"/>
  <c r="G643" s="1"/>
  <c r="G623"/>
  <c r="G613" s="1"/>
  <c r="G597"/>
  <c r="G596" s="1"/>
  <c r="G584" s="1"/>
  <c r="G575"/>
  <c r="G568"/>
  <c r="G563"/>
  <c r="G555"/>
  <c r="G547"/>
  <c r="G543"/>
  <c r="G533"/>
  <c r="G532" s="1"/>
  <c r="G505"/>
  <c r="G504" s="1"/>
  <c r="G489"/>
  <c r="G457"/>
  <c r="G437"/>
  <c r="G436" s="1"/>
  <c r="G431"/>
  <c r="G430" s="1"/>
  <c r="G412"/>
  <c r="G411" s="1"/>
  <c r="G384"/>
  <c r="G383" s="1"/>
  <c r="G377"/>
  <c r="G376" s="1"/>
  <c r="G355"/>
  <c r="G349" s="1"/>
  <c r="G344"/>
  <c r="G340" s="1"/>
  <c r="G318"/>
  <c r="G317" s="1"/>
  <c r="G302"/>
  <c r="G301" s="1"/>
  <c r="G283"/>
  <c r="G268"/>
  <c r="G246"/>
  <c r="G228"/>
  <c r="G211"/>
  <c r="G210" s="1"/>
  <c r="G209" s="1"/>
  <c r="G198"/>
  <c r="G191"/>
  <c r="G164"/>
  <c r="G150"/>
  <c r="G116"/>
  <c r="G90"/>
  <c r="G75"/>
  <c r="G46"/>
  <c r="G34"/>
  <c r="G9"/>
  <c r="J887"/>
  <c r="J886" s="1"/>
  <c r="J867"/>
  <c r="J866" s="1"/>
  <c r="J842"/>
  <c r="J833"/>
  <c r="J825"/>
  <c r="J824" s="1"/>
  <c r="J769"/>
  <c r="J768" s="1"/>
  <c r="J762"/>
  <c r="J747"/>
  <c r="J740"/>
  <c r="J739" s="1"/>
  <c r="J735"/>
  <c r="J734" s="1"/>
  <c r="J731"/>
  <c r="J730" s="1"/>
  <c r="J726"/>
  <c r="J725" s="1"/>
  <c r="J709"/>
  <c r="J702"/>
  <c r="J691"/>
  <c r="J674"/>
  <c r="J660"/>
  <c r="J644"/>
  <c r="J643" s="1"/>
  <c r="J636"/>
  <c r="J635" s="1"/>
  <c r="J623"/>
  <c r="J614"/>
  <c r="J597"/>
  <c r="J596" s="1"/>
  <c r="J590"/>
  <c r="J589" s="1"/>
  <c r="J586"/>
  <c r="J585" s="1"/>
  <c r="J581"/>
  <c r="J575"/>
  <c r="J568"/>
  <c r="J563"/>
  <c r="J555"/>
  <c r="J547"/>
  <c r="J543"/>
  <c r="J533"/>
  <c r="J532" s="1"/>
  <c r="J528"/>
  <c r="J527" s="1"/>
  <c r="J524"/>
  <c r="J505"/>
  <c r="J489"/>
  <c r="J457"/>
  <c r="J452"/>
  <c r="J437"/>
  <c r="J431"/>
  <c r="J430" s="1"/>
  <c r="J412"/>
  <c r="J411" s="1"/>
  <c r="J408"/>
  <c r="J384"/>
  <c r="J377"/>
  <c r="J376" s="1"/>
  <c r="J363"/>
  <c r="J362" s="1"/>
  <c r="J355"/>
  <c r="J352"/>
  <c r="J350"/>
  <c r="J344"/>
  <c r="J341"/>
  <c r="J318"/>
  <c r="J317" s="1"/>
  <c r="J311"/>
  <c r="J310" s="1"/>
  <c r="J302"/>
  <c r="J301" s="1"/>
  <c r="J295"/>
  <c r="J283"/>
  <c r="J277"/>
  <c r="J268"/>
  <c r="J246"/>
  <c r="J228"/>
  <c r="J223"/>
  <c r="J222" s="1"/>
  <c r="J211"/>
  <c r="J210" s="1"/>
  <c r="J198"/>
  <c r="J191"/>
  <c r="J164"/>
  <c r="J150"/>
  <c r="J116"/>
  <c r="J90"/>
  <c r="J84"/>
  <c r="J75"/>
  <c r="J46"/>
  <c r="J9"/>
  <c r="G832" l="1"/>
  <c r="G831" s="1"/>
  <c r="G690"/>
  <c r="G659"/>
  <c r="G562"/>
  <c r="G542"/>
  <c r="G456"/>
  <c r="G455" s="1"/>
  <c r="G361"/>
  <c r="G309"/>
  <c r="G227"/>
  <c r="G226" s="1"/>
  <c r="G190"/>
  <c r="G8"/>
  <c r="J8"/>
  <c r="J190"/>
  <c r="J340"/>
  <c r="J436"/>
  <c r="J456"/>
  <c r="J659"/>
  <c r="J832"/>
  <c r="J831" s="1"/>
  <c r="J504"/>
  <c r="J562"/>
  <c r="J349"/>
  <c r="J613"/>
  <c r="J383"/>
  <c r="J361" s="1"/>
  <c r="J542"/>
  <c r="J227"/>
  <c r="J226" s="1"/>
  <c r="J767"/>
  <c r="J690"/>
  <c r="J746"/>
  <c r="J729" s="1"/>
  <c r="J584"/>
  <c r="J209"/>
  <c r="J309" l="1"/>
  <c r="G612"/>
  <c r="G531"/>
  <c r="G7"/>
  <c r="J7"/>
  <c r="J455"/>
  <c r="J531"/>
  <c r="J612"/>
  <c r="G6" l="1"/>
  <c r="G2" s="1"/>
  <c r="J6"/>
  <c r="J2" s="1"/>
  <c r="M887" l="1"/>
  <c r="M886" s="1"/>
  <c r="M867"/>
  <c r="M866" s="1"/>
  <c r="M842"/>
  <c r="M833"/>
  <c r="M825"/>
  <c r="M824" s="1"/>
  <c r="M769"/>
  <c r="M768" s="1"/>
  <c r="M762"/>
  <c r="M747"/>
  <c r="M740"/>
  <c r="M739" s="1"/>
  <c r="M735"/>
  <c r="M734"/>
  <c r="M731"/>
  <c r="M730" s="1"/>
  <c r="M726"/>
  <c r="M725" s="1"/>
  <c r="M709"/>
  <c r="M702"/>
  <c r="M691"/>
  <c r="M674"/>
  <c r="M660"/>
  <c r="M644"/>
  <c r="M643" s="1"/>
  <c r="M636"/>
  <c r="M635" s="1"/>
  <c r="M623"/>
  <c r="M614"/>
  <c r="M597"/>
  <c r="M596" s="1"/>
  <c r="M590"/>
  <c r="M589" s="1"/>
  <c r="M586"/>
  <c r="M585" s="1"/>
  <c r="M581"/>
  <c r="M575"/>
  <c r="M568"/>
  <c r="M563"/>
  <c r="M555"/>
  <c r="M547"/>
  <c r="M543"/>
  <c r="M533"/>
  <c r="M532" s="1"/>
  <c r="M528"/>
  <c r="M527" s="1"/>
  <c r="M524"/>
  <c r="M505"/>
  <c r="M504" s="1"/>
  <c r="M489"/>
  <c r="M457"/>
  <c r="M452"/>
  <c r="M437"/>
  <c r="M431"/>
  <c r="M430" s="1"/>
  <c r="M412"/>
  <c r="M411" s="1"/>
  <c r="M408"/>
  <c r="M384"/>
  <c r="M383" s="1"/>
  <c r="M377"/>
  <c r="M376" s="1"/>
  <c r="M363"/>
  <c r="M362" s="1"/>
  <c r="M355"/>
  <c r="M352"/>
  <c r="M350"/>
  <c r="M344"/>
  <c r="M341"/>
  <c r="M318"/>
  <c r="M317" s="1"/>
  <c r="M311"/>
  <c r="M310" s="1"/>
  <c r="M302"/>
  <c r="M301" s="1"/>
  <c r="M295"/>
  <c r="M283"/>
  <c r="M277"/>
  <c r="M268"/>
  <c r="M246"/>
  <c r="M228"/>
  <c r="M223"/>
  <c r="M222" s="1"/>
  <c r="M211"/>
  <c r="M210" s="1"/>
  <c r="M198"/>
  <c r="M191"/>
  <c r="M164"/>
  <c r="M150"/>
  <c r="M116"/>
  <c r="M90"/>
  <c r="M84"/>
  <c r="M75"/>
  <c r="M46"/>
  <c r="M34"/>
  <c r="M9"/>
  <c r="M767" l="1"/>
  <c r="M659"/>
  <c r="M584"/>
  <c r="M562"/>
  <c r="M340"/>
  <c r="M309" s="1"/>
  <c r="M542"/>
  <c r="M746"/>
  <c r="M729" s="1"/>
  <c r="M832"/>
  <c r="M831" s="1"/>
  <c r="M227"/>
  <c r="M226" s="1"/>
  <c r="M209"/>
  <c r="M349"/>
  <c r="M190"/>
  <c r="M8"/>
  <c r="M456"/>
  <c r="M455" s="1"/>
  <c r="M436"/>
  <c r="M361" s="1"/>
  <c r="M613"/>
  <c r="M690"/>
  <c r="M612" s="1"/>
  <c r="M531" l="1"/>
  <c r="M7"/>
  <c r="M6" s="1"/>
  <c r="M2" s="1"/>
  <c r="P731"/>
  <c r="P730" s="1"/>
  <c r="P590"/>
  <c r="P589" s="1"/>
  <c r="P586"/>
  <c r="P585" s="1"/>
  <c r="P350"/>
  <c r="P887"/>
  <c r="P886" s="1"/>
  <c r="AB887"/>
  <c r="AB886" s="1"/>
  <c r="Y887"/>
  <c r="Y886" s="1"/>
  <c r="V887"/>
  <c r="V886" s="1"/>
  <c r="S887"/>
  <c r="S886" s="1"/>
  <c r="AB867"/>
  <c r="Y867"/>
  <c r="Y866" s="1"/>
  <c r="V867"/>
  <c r="V866" s="1"/>
  <c r="S867"/>
  <c r="S866" s="1"/>
  <c r="AB866"/>
  <c r="P842"/>
  <c r="AB842"/>
  <c r="Y842"/>
  <c r="V842"/>
  <c r="S842"/>
  <c r="P833"/>
  <c r="AB833"/>
  <c r="Y833"/>
  <c r="V833"/>
  <c r="S833"/>
  <c r="S832" s="1"/>
  <c r="Y832"/>
  <c r="AB825"/>
  <c r="AB824" s="1"/>
  <c r="Y825"/>
  <c r="Y824" s="1"/>
  <c r="V825"/>
  <c r="V824" s="1"/>
  <c r="S825"/>
  <c r="S824" s="1"/>
  <c r="AB769"/>
  <c r="AB768" s="1"/>
  <c r="Y769"/>
  <c r="Y768" s="1"/>
  <c r="V769"/>
  <c r="V768" s="1"/>
  <c r="S769"/>
  <c r="S768" s="1"/>
  <c r="S767" s="1"/>
  <c r="AB762"/>
  <c r="Y762"/>
  <c r="V762"/>
  <c r="S762"/>
  <c r="AB747"/>
  <c r="AB746" s="1"/>
  <c r="Y747"/>
  <c r="V747"/>
  <c r="S747"/>
  <c r="AB740"/>
  <c r="AB739" s="1"/>
  <c r="Y740"/>
  <c r="V740"/>
  <c r="V739" s="1"/>
  <c r="S740"/>
  <c r="S739" s="1"/>
  <c r="Y739"/>
  <c r="P735"/>
  <c r="P734" s="1"/>
  <c r="AB735"/>
  <c r="AB734" s="1"/>
  <c r="Y735"/>
  <c r="Y734" s="1"/>
  <c r="V735"/>
  <c r="V734" s="1"/>
  <c r="S735"/>
  <c r="S734" s="1"/>
  <c r="AB731"/>
  <c r="AB730" s="1"/>
  <c r="Y731"/>
  <c r="Y730" s="1"/>
  <c r="V731"/>
  <c r="V730" s="1"/>
  <c r="S731"/>
  <c r="S730" s="1"/>
  <c r="AB726"/>
  <c r="AB725" s="1"/>
  <c r="Y726"/>
  <c r="Y725" s="1"/>
  <c r="V726"/>
  <c r="V725" s="1"/>
  <c r="S726"/>
  <c r="S725" s="1"/>
  <c r="AB709"/>
  <c r="Y709"/>
  <c r="V709"/>
  <c r="S709"/>
  <c r="P702"/>
  <c r="AB702"/>
  <c r="Y702"/>
  <c r="V702"/>
  <c r="S702"/>
  <c r="AB691"/>
  <c r="Y691"/>
  <c r="Y690" s="1"/>
  <c r="V691"/>
  <c r="S691"/>
  <c r="AB674"/>
  <c r="Y674"/>
  <c r="V674"/>
  <c r="S674"/>
  <c r="AB660"/>
  <c r="Y660"/>
  <c r="V660"/>
  <c r="V659" s="1"/>
  <c r="S660"/>
  <c r="AB644"/>
  <c r="AB643" s="1"/>
  <c r="Y644"/>
  <c r="Y643" s="1"/>
  <c r="V644"/>
  <c r="V643" s="1"/>
  <c r="S644"/>
  <c r="S643" s="1"/>
  <c r="AB636"/>
  <c r="AB635" s="1"/>
  <c r="Y636"/>
  <c r="Y635" s="1"/>
  <c r="V636"/>
  <c r="V635" s="1"/>
  <c r="S636"/>
  <c r="S635" s="1"/>
  <c r="AB623"/>
  <c r="Y623"/>
  <c r="V623"/>
  <c r="S623"/>
  <c r="AB614"/>
  <c r="AB613" s="1"/>
  <c r="Y614"/>
  <c r="Y613" s="1"/>
  <c r="V614"/>
  <c r="S614"/>
  <c r="AB597"/>
  <c r="AB596" s="1"/>
  <c r="Y597"/>
  <c r="Y596" s="1"/>
  <c r="V597"/>
  <c r="V596" s="1"/>
  <c r="S597"/>
  <c r="S596" s="1"/>
  <c r="AB590"/>
  <c r="AB589" s="1"/>
  <c r="Y590"/>
  <c r="Y589" s="1"/>
  <c r="V590"/>
  <c r="V589" s="1"/>
  <c r="S590"/>
  <c r="S589" s="1"/>
  <c r="AB586"/>
  <c r="AB585" s="1"/>
  <c r="Y586"/>
  <c r="Y585" s="1"/>
  <c r="V586"/>
  <c r="V585" s="1"/>
  <c r="S586"/>
  <c r="S585" s="1"/>
  <c r="AB581"/>
  <c r="Y581"/>
  <c r="V581"/>
  <c r="S581"/>
  <c r="AB575"/>
  <c r="Y575"/>
  <c r="V575"/>
  <c r="S575"/>
  <c r="AB568"/>
  <c r="Y568"/>
  <c r="V568"/>
  <c r="S568"/>
  <c r="AB563"/>
  <c r="Y563"/>
  <c r="V563"/>
  <c r="S563"/>
  <c r="AB555"/>
  <c r="Y555"/>
  <c r="V555"/>
  <c r="S555"/>
  <c r="AB547"/>
  <c r="Y547"/>
  <c r="V547"/>
  <c r="S547"/>
  <c r="AB543"/>
  <c r="Y543"/>
  <c r="V543"/>
  <c r="S543"/>
  <c r="AB533"/>
  <c r="AB532" s="1"/>
  <c r="Y533"/>
  <c r="Y532" s="1"/>
  <c r="V533"/>
  <c r="V532" s="1"/>
  <c r="S533"/>
  <c r="S532" s="1"/>
  <c r="AB528"/>
  <c r="AB527" s="1"/>
  <c r="Y528"/>
  <c r="Y527" s="1"/>
  <c r="V528"/>
  <c r="V527" s="1"/>
  <c r="S528"/>
  <c r="S527" s="1"/>
  <c r="AB524"/>
  <c r="Y524"/>
  <c r="V524"/>
  <c r="S524"/>
  <c r="AB505"/>
  <c r="Y505"/>
  <c r="V505"/>
  <c r="V504" s="1"/>
  <c r="S505"/>
  <c r="Y504"/>
  <c r="AB489"/>
  <c r="Y489"/>
  <c r="V489"/>
  <c r="S489"/>
  <c r="AB457"/>
  <c r="Y457"/>
  <c r="Y456" s="1"/>
  <c r="V457"/>
  <c r="S457"/>
  <c r="S456"/>
  <c r="AB452"/>
  <c r="AB436" s="1"/>
  <c r="Y452"/>
  <c r="V452"/>
  <c r="S452"/>
  <c r="AB437"/>
  <c r="Y437"/>
  <c r="V437"/>
  <c r="S437"/>
  <c r="AB431"/>
  <c r="AB430" s="1"/>
  <c r="Y431"/>
  <c r="Y430" s="1"/>
  <c r="V431"/>
  <c r="V430" s="1"/>
  <c r="S431"/>
  <c r="S430" s="1"/>
  <c r="AB412"/>
  <c r="AB411" s="1"/>
  <c r="Y412"/>
  <c r="Y411" s="1"/>
  <c r="V412"/>
  <c r="V411" s="1"/>
  <c r="S412"/>
  <c r="S411" s="1"/>
  <c r="AB408"/>
  <c r="Y408"/>
  <c r="V408"/>
  <c r="S408"/>
  <c r="AB384"/>
  <c r="Y384"/>
  <c r="V384"/>
  <c r="S384"/>
  <c r="AB377"/>
  <c r="AB376" s="1"/>
  <c r="Y377"/>
  <c r="Y376" s="1"/>
  <c r="V377"/>
  <c r="V376" s="1"/>
  <c r="S377"/>
  <c r="S376" s="1"/>
  <c r="AB363"/>
  <c r="AB362" s="1"/>
  <c r="Y363"/>
  <c r="Y362" s="1"/>
  <c r="V363"/>
  <c r="V362" s="1"/>
  <c r="S363"/>
  <c r="S362" s="1"/>
  <c r="AB355"/>
  <c r="Y355"/>
  <c r="V355"/>
  <c r="S355"/>
  <c r="AB352"/>
  <c r="AB349" s="1"/>
  <c r="Y352"/>
  <c r="V352"/>
  <c r="S352"/>
  <c r="AB350"/>
  <c r="Y350"/>
  <c r="V350"/>
  <c r="S350"/>
  <c r="AB344"/>
  <c r="Y344"/>
  <c r="V344"/>
  <c r="S344"/>
  <c r="AB341"/>
  <c r="Y341"/>
  <c r="V341"/>
  <c r="S341"/>
  <c r="AB318"/>
  <c r="Y318"/>
  <c r="Y317" s="1"/>
  <c r="V318"/>
  <c r="V317" s="1"/>
  <c r="S318"/>
  <c r="S317" s="1"/>
  <c r="AB317"/>
  <c r="AB311"/>
  <c r="AB310" s="1"/>
  <c r="Y311"/>
  <c r="Y310" s="1"/>
  <c r="V311"/>
  <c r="V310" s="1"/>
  <c r="S311"/>
  <c r="S310" s="1"/>
  <c r="AB302"/>
  <c r="AB301" s="1"/>
  <c r="Y302"/>
  <c r="Y301" s="1"/>
  <c r="V302"/>
  <c r="V301" s="1"/>
  <c r="S302"/>
  <c r="S301" s="1"/>
  <c r="AB295"/>
  <c r="Y295"/>
  <c r="V295"/>
  <c r="S295"/>
  <c r="AB283"/>
  <c r="Y283"/>
  <c r="V283"/>
  <c r="S283"/>
  <c r="AB277"/>
  <c r="Y277"/>
  <c r="V277"/>
  <c r="S277"/>
  <c r="AB268"/>
  <c r="Y268"/>
  <c r="V268"/>
  <c r="S268"/>
  <c r="AB246"/>
  <c r="Y246"/>
  <c r="V246"/>
  <c r="S246"/>
  <c r="AB228"/>
  <c r="Y228"/>
  <c r="V228"/>
  <c r="S228"/>
  <c r="AB223"/>
  <c r="AB222" s="1"/>
  <c r="Y223"/>
  <c r="Y222" s="1"/>
  <c r="V223"/>
  <c r="V222" s="1"/>
  <c r="S223"/>
  <c r="S222" s="1"/>
  <c r="P223"/>
  <c r="P222" s="1"/>
  <c r="AB211"/>
  <c r="AB210" s="1"/>
  <c r="Y211"/>
  <c r="Y210" s="1"/>
  <c r="V211"/>
  <c r="V210" s="1"/>
  <c r="S211"/>
  <c r="S210" s="1"/>
  <c r="AB198"/>
  <c r="Y198"/>
  <c r="V198"/>
  <c r="S198"/>
  <c r="AB191"/>
  <c r="Y191"/>
  <c r="V191"/>
  <c r="S191"/>
  <c r="AB164"/>
  <c r="Y164"/>
  <c r="V164"/>
  <c r="S164"/>
  <c r="AB150"/>
  <c r="Y150"/>
  <c r="V150"/>
  <c r="S150"/>
  <c r="AB116"/>
  <c r="Y116"/>
  <c r="V116"/>
  <c r="S116"/>
  <c r="AB90"/>
  <c r="Y90"/>
  <c r="V90"/>
  <c r="S90"/>
  <c r="AB84"/>
  <c r="Y84"/>
  <c r="V84"/>
  <c r="S84"/>
  <c r="AB75"/>
  <c r="Y75"/>
  <c r="V75"/>
  <c r="S75"/>
  <c r="AB46"/>
  <c r="Y46"/>
  <c r="V46"/>
  <c r="S46"/>
  <c r="AB34"/>
  <c r="Y34"/>
  <c r="V34"/>
  <c r="S34"/>
  <c r="AB9"/>
  <c r="Y9"/>
  <c r="V9"/>
  <c r="S9"/>
  <c r="AB383" l="1"/>
  <c r="V456"/>
  <c r="V832"/>
  <c r="V831" s="1"/>
  <c r="S383"/>
  <c r="S504"/>
  <c r="AB456"/>
  <c r="V746"/>
  <c r="Y340"/>
  <c r="Y767"/>
  <c r="Y659"/>
  <c r="AB504"/>
  <c r="S8"/>
  <c r="S659"/>
  <c r="S690"/>
  <c r="Y746"/>
  <c r="Y729" s="1"/>
  <c r="Y209"/>
  <c r="S227"/>
  <c r="S226" s="1"/>
  <c r="S746"/>
  <c r="S729" s="1"/>
  <c r="V729"/>
  <c r="S455"/>
  <c r="V436"/>
  <c r="V767"/>
  <c r="S209"/>
  <c r="P832"/>
  <c r="P352"/>
  <c r="S190"/>
  <c r="P268"/>
  <c r="P318"/>
  <c r="P317" s="1"/>
  <c r="P614"/>
  <c r="P825"/>
  <c r="P824" s="1"/>
  <c r="P198"/>
  <c r="Y227"/>
  <c r="Y226" s="1"/>
  <c r="S349"/>
  <c r="P437"/>
  <c r="P528"/>
  <c r="P527" s="1"/>
  <c r="V542"/>
  <c r="V531" s="1"/>
  <c r="P644"/>
  <c r="P643" s="1"/>
  <c r="V190"/>
  <c r="S340"/>
  <c r="S309" s="1"/>
  <c r="Y349"/>
  <c r="Y309" s="1"/>
  <c r="Y383"/>
  <c r="Y436"/>
  <c r="S542"/>
  <c r="V562"/>
  <c r="S584"/>
  <c r="V209"/>
  <c r="P75"/>
  <c r="P46"/>
  <c r="P116"/>
  <c r="Y190"/>
  <c r="P283"/>
  <c r="P295"/>
  <c r="AB340"/>
  <c r="V340"/>
  <c r="Y455"/>
  <c r="P533"/>
  <c r="P532" s="1"/>
  <c r="Y542"/>
  <c r="AB542"/>
  <c r="S562"/>
  <c r="V584"/>
  <c r="P597"/>
  <c r="P596" s="1"/>
  <c r="P584" s="1"/>
  <c r="S613"/>
  <c r="V613"/>
  <c r="V455"/>
  <c r="Y562"/>
  <c r="Y531" s="1"/>
  <c r="P84"/>
  <c r="P150"/>
  <c r="P277"/>
  <c r="P311"/>
  <c r="P310" s="1"/>
  <c r="P452"/>
  <c r="P457"/>
  <c r="P489"/>
  <c r="P505"/>
  <c r="P524"/>
  <c r="P581"/>
  <c r="Y612"/>
  <c r="P674"/>
  <c r="AB767"/>
  <c r="Y8"/>
  <c r="S436"/>
  <c r="S361" s="1"/>
  <c r="Y584"/>
  <c r="AB659"/>
  <c r="S831"/>
  <c r="AB361"/>
  <c r="Y831"/>
  <c r="P9"/>
  <c r="P34"/>
  <c r="P90"/>
  <c r="P164"/>
  <c r="P191"/>
  <c r="P211"/>
  <c r="P210" s="1"/>
  <c r="P209" s="1"/>
  <c r="P302"/>
  <c r="P301" s="1"/>
  <c r="P341"/>
  <c r="V383"/>
  <c r="V361" s="1"/>
  <c r="P547"/>
  <c r="AB562"/>
  <c r="V227"/>
  <c r="V226" s="1"/>
  <c r="AB729"/>
  <c r="P228"/>
  <c r="P246"/>
  <c r="V349"/>
  <c r="V309" s="1"/>
  <c r="P355"/>
  <c r="AB584"/>
  <c r="AB832"/>
  <c r="AB831" s="1"/>
  <c r="V8"/>
  <c r="AB8"/>
  <c r="AB190"/>
  <c r="AB209"/>
  <c r="AB227"/>
  <c r="AB226" s="1"/>
  <c r="P344"/>
  <c r="AB309"/>
  <c r="P363"/>
  <c r="P362" s="1"/>
  <c r="P563"/>
  <c r="P575"/>
  <c r="V690"/>
  <c r="AB690"/>
  <c r="AB612" s="1"/>
  <c r="P377"/>
  <c r="P376" s="1"/>
  <c r="P384"/>
  <c r="P543"/>
  <c r="P747"/>
  <c r="P431"/>
  <c r="P430" s="1"/>
  <c r="P555"/>
  <c r="P568"/>
  <c r="P623"/>
  <c r="P636"/>
  <c r="P635" s="1"/>
  <c r="P660"/>
  <c r="P691"/>
  <c r="P408"/>
  <c r="P412"/>
  <c r="P411" s="1"/>
  <c r="P709"/>
  <c r="P726"/>
  <c r="P725" s="1"/>
  <c r="P740"/>
  <c r="P739" s="1"/>
  <c r="P762"/>
  <c r="P769"/>
  <c r="P768" s="1"/>
  <c r="P867"/>
  <c r="P866" s="1"/>
  <c r="S7" l="1"/>
  <c r="AB455"/>
  <c r="V612"/>
  <c r="Y361"/>
  <c r="AB531"/>
  <c r="S612"/>
  <c r="Y7"/>
  <c r="S531"/>
  <c r="P190"/>
  <c r="P613"/>
  <c r="P659"/>
  <c r="P349"/>
  <c r="P227"/>
  <c r="P226" s="1"/>
  <c r="P831"/>
  <c r="P767"/>
  <c r="P436"/>
  <c r="P456"/>
  <c r="V7"/>
  <c r="P504"/>
  <c r="P340"/>
  <c r="P309" s="1"/>
  <c r="AB7"/>
  <c r="P562"/>
  <c r="P542"/>
  <c r="P8"/>
  <c r="P690"/>
  <c r="P746"/>
  <c r="P729" s="1"/>
  <c r="P383"/>
  <c r="V6" l="1"/>
  <c r="V2" s="1"/>
  <c r="Y6"/>
  <c r="Y2" s="1"/>
  <c r="S6"/>
  <c r="S2" s="1"/>
  <c r="AB6"/>
  <c r="AB2" s="1"/>
  <c r="P612"/>
  <c r="P361"/>
  <c r="P7"/>
  <c r="P455"/>
  <c r="P531"/>
  <c r="P6" l="1"/>
  <c r="P2" s="1"/>
</calcChain>
</file>

<file path=xl/comments1.xml><?xml version="1.0" encoding="utf-8"?>
<comments xmlns="http://schemas.openxmlformats.org/spreadsheetml/2006/main">
  <authors>
    <author>nso user</author>
  </authors>
  <commentList>
    <comment ref="X204" authorId="0">
      <text>
        <r>
          <rPr>
            <b/>
            <sz val="9"/>
            <color indexed="81"/>
            <rFont val="굴림"/>
            <family val="3"/>
            <charset val="129"/>
          </rPr>
          <t>nso user:</t>
        </r>
        <r>
          <rPr>
            <sz val="9"/>
            <color indexed="81"/>
            <rFont val="굴림"/>
            <family val="3"/>
            <charset val="129"/>
          </rPr>
          <t xml:space="preserve">
가계동향에서는 유제품</t>
        </r>
      </text>
    </comment>
    <comment ref="W507" authorId="0">
      <text>
        <r>
          <rPr>
            <b/>
            <sz val="9"/>
            <color indexed="81"/>
            <rFont val="굴림"/>
            <family val="3"/>
            <charset val="129"/>
          </rPr>
          <t>nso user:</t>
        </r>
        <r>
          <rPr>
            <sz val="9"/>
            <color indexed="81"/>
            <rFont val="굴림"/>
            <family val="3"/>
            <charset val="129"/>
          </rPr>
          <t xml:space="preserve">
2000년 이전은 외래와 입원을 분리하기 어려움</t>
        </r>
      </text>
    </comment>
  </commentList>
</comments>
</file>

<file path=xl/sharedStrings.xml><?xml version="1.0" encoding="utf-8"?>
<sst xmlns="http://schemas.openxmlformats.org/spreadsheetml/2006/main" count="8563" uniqueCount="3053">
  <si>
    <t xml:space="preserve"> COICOP</t>
    <phoneticPr fontId="4" type="noConversion"/>
  </si>
  <si>
    <t>소비자물가지수</t>
    <phoneticPr fontId="4" type="noConversion"/>
  </si>
  <si>
    <t>01</t>
  </si>
  <si>
    <t>식료품 및 비주류 음료</t>
    <phoneticPr fontId="4" type="noConversion"/>
  </si>
  <si>
    <t>01.1</t>
  </si>
  <si>
    <t>식료품</t>
    <phoneticPr fontId="4" type="noConversion"/>
  </si>
  <si>
    <t>A010000</t>
  </si>
  <si>
    <t>A011</t>
    <phoneticPr fontId="4" type="noConversion"/>
  </si>
  <si>
    <t>빵 및 곡물</t>
    <phoneticPr fontId="4" type="noConversion"/>
  </si>
  <si>
    <t>A011000</t>
  </si>
  <si>
    <t>쌀</t>
  </si>
  <si>
    <t>A011010</t>
  </si>
  <si>
    <t>A01101</t>
  </si>
  <si>
    <t>쌀</t>
    <phoneticPr fontId="13" type="noConversion"/>
  </si>
  <si>
    <t>찹쌀</t>
  </si>
  <si>
    <t>A011020</t>
  </si>
  <si>
    <t>A01102</t>
  </si>
  <si>
    <t>보리쌀</t>
  </si>
  <si>
    <t>A011030</t>
  </si>
  <si>
    <t>A01103</t>
  </si>
  <si>
    <t>콩</t>
  </si>
  <si>
    <t>A011040</t>
  </si>
  <si>
    <t>A01104</t>
  </si>
  <si>
    <t>땅콩</t>
  </si>
  <si>
    <t>A011050</t>
  </si>
  <si>
    <t>A01615</t>
  </si>
  <si>
    <t>A08113</t>
  </si>
  <si>
    <t>A01105</t>
  </si>
  <si>
    <t>팥</t>
  </si>
  <si>
    <t>밀가루</t>
  </si>
  <si>
    <t>A011070</t>
  </si>
  <si>
    <t>A01201</t>
  </si>
  <si>
    <t>국수</t>
  </si>
  <si>
    <t>A011080</t>
  </si>
  <si>
    <t>A01108</t>
  </si>
  <si>
    <t>A01204</t>
  </si>
  <si>
    <t>라면</t>
  </si>
  <si>
    <t>A011090</t>
  </si>
  <si>
    <t>A01107</t>
  </si>
  <si>
    <t>A01203</t>
  </si>
  <si>
    <t>당면</t>
  </si>
  <si>
    <t>A011100</t>
  </si>
  <si>
    <t>A01732</t>
  </si>
  <si>
    <t>A05301</t>
  </si>
  <si>
    <t>두부</t>
  </si>
  <si>
    <t>A011110</t>
  </si>
  <si>
    <t>A01106</t>
  </si>
  <si>
    <t>A01202</t>
  </si>
  <si>
    <t>A011120</t>
  </si>
  <si>
    <t>씨리얼식품</t>
  </si>
  <si>
    <t>A01109</t>
  </si>
  <si>
    <t>A01206</t>
  </si>
  <si>
    <t>콘후레이크</t>
  </si>
  <si>
    <t>부침가루</t>
  </si>
  <si>
    <t>A011130</t>
  </si>
  <si>
    <t>A01110</t>
  </si>
  <si>
    <t>A01207</t>
  </si>
  <si>
    <t>케이크</t>
  </si>
  <si>
    <t>A011140</t>
  </si>
  <si>
    <t>A01114</t>
  </si>
  <si>
    <t>A08103</t>
  </si>
  <si>
    <t>A011150</t>
  </si>
  <si>
    <t>식빵</t>
  </si>
  <si>
    <t>A01113</t>
  </si>
  <si>
    <t>A08102</t>
  </si>
  <si>
    <t>A011160</t>
  </si>
  <si>
    <t>빵</t>
  </si>
  <si>
    <t>A01112</t>
  </si>
  <si>
    <t>A08101</t>
  </si>
  <si>
    <t>떡</t>
  </si>
  <si>
    <t>A011170</t>
  </si>
  <si>
    <t>A01111</t>
  </si>
  <si>
    <t>A08106</t>
  </si>
  <si>
    <t>혼식곡</t>
  </si>
  <si>
    <t>A011060</t>
  </si>
  <si>
    <t>A012</t>
    <phoneticPr fontId="4" type="noConversion"/>
  </si>
  <si>
    <t>육류</t>
    <phoneticPr fontId="4" type="noConversion"/>
  </si>
  <si>
    <t>A012000</t>
  </si>
  <si>
    <t>A012010</t>
  </si>
  <si>
    <t>쇠고기(국산)</t>
  </si>
  <si>
    <t>A02101</t>
  </si>
  <si>
    <t>한우쇠고기</t>
  </si>
  <si>
    <t>A012020</t>
  </si>
  <si>
    <t>쇠고기(수입)</t>
  </si>
  <si>
    <t>A02102</t>
  </si>
  <si>
    <t>수입쇠고기</t>
  </si>
  <si>
    <t>A02103</t>
  </si>
  <si>
    <t>한우쇠갈비</t>
  </si>
  <si>
    <t>A02104</t>
  </si>
  <si>
    <t>수입쇠갈비</t>
  </si>
  <si>
    <t>돼지고기</t>
  </si>
  <si>
    <t>A012030</t>
  </si>
  <si>
    <t>A02105</t>
  </si>
  <si>
    <t>닭고기</t>
  </si>
  <si>
    <t>A012040</t>
  </si>
  <si>
    <t>A02106</t>
  </si>
  <si>
    <t>소시지</t>
  </si>
  <si>
    <t>A012050</t>
  </si>
  <si>
    <t>A01205</t>
  </si>
  <si>
    <t>A02201</t>
  </si>
  <si>
    <t>A012060</t>
  </si>
  <si>
    <t>햄</t>
  </si>
  <si>
    <t>A02202</t>
  </si>
  <si>
    <t>A012070</t>
  </si>
  <si>
    <t>육류통조림</t>
  </si>
  <si>
    <t>A013</t>
    <phoneticPr fontId="4" type="noConversion"/>
  </si>
  <si>
    <t>어류 및 수산물</t>
    <phoneticPr fontId="4" type="noConversion"/>
  </si>
  <si>
    <t>A013000</t>
  </si>
  <si>
    <t>갈치</t>
  </si>
  <si>
    <t>A013010</t>
  </si>
  <si>
    <t>A01302</t>
  </si>
  <si>
    <t>A04102</t>
  </si>
  <si>
    <t>명태</t>
  </si>
  <si>
    <t>A013020</t>
  </si>
  <si>
    <t>A01303</t>
  </si>
  <si>
    <t>A04103</t>
  </si>
  <si>
    <t>조기</t>
  </si>
  <si>
    <t>A013030</t>
  </si>
  <si>
    <t>A01301</t>
  </si>
  <si>
    <t>A04101</t>
  </si>
  <si>
    <t>고등어</t>
  </si>
  <si>
    <t>A013040</t>
  </si>
  <si>
    <t>A01304</t>
  </si>
  <si>
    <t>A04104</t>
  </si>
  <si>
    <t>A013050</t>
  </si>
  <si>
    <t>꽁치</t>
  </si>
  <si>
    <t>A01305</t>
  </si>
  <si>
    <t>A04105</t>
  </si>
  <si>
    <t>오징어</t>
  </si>
  <si>
    <t>A013060</t>
  </si>
  <si>
    <t>A01307</t>
  </si>
  <si>
    <t>A04107</t>
  </si>
  <si>
    <t>냉동오징어</t>
  </si>
  <si>
    <t>A01306</t>
  </si>
  <si>
    <t>A04106</t>
  </si>
  <si>
    <t>가자미</t>
  </si>
  <si>
    <t>굴</t>
  </si>
  <si>
    <t>A013080</t>
  </si>
  <si>
    <t>A01308</t>
  </si>
  <si>
    <t>A04108</t>
  </si>
  <si>
    <t>조개</t>
  </si>
  <si>
    <t>A013090</t>
  </si>
  <si>
    <t>A01309</t>
  </si>
  <si>
    <t>A04109</t>
  </si>
  <si>
    <t>A01310</t>
  </si>
  <si>
    <t>A04110</t>
  </si>
  <si>
    <t>생선회</t>
  </si>
  <si>
    <t>A01313</t>
  </si>
  <si>
    <t>A04203</t>
  </si>
  <si>
    <t>북어</t>
  </si>
  <si>
    <t>마른멸치</t>
  </si>
  <si>
    <t>A013110</t>
  </si>
  <si>
    <t>A01311</t>
  </si>
  <si>
    <t>A04201</t>
  </si>
  <si>
    <t>마른오징어</t>
  </si>
  <si>
    <t>A013120</t>
  </si>
  <si>
    <t>A01312</t>
  </si>
  <si>
    <t>A04202</t>
  </si>
  <si>
    <t>어묵</t>
  </si>
  <si>
    <t>A013150</t>
  </si>
  <si>
    <t>A01316</t>
  </si>
  <si>
    <t>A04302</t>
  </si>
  <si>
    <t>맛살</t>
  </si>
  <si>
    <t>A013160</t>
  </si>
  <si>
    <t>A01317</t>
  </si>
  <si>
    <t>A04303</t>
  </si>
  <si>
    <t>생선통조림</t>
  </si>
  <si>
    <t>A013170</t>
  </si>
  <si>
    <t>A01315</t>
  </si>
  <si>
    <t>A04301</t>
  </si>
  <si>
    <t>젓갈</t>
  </si>
  <si>
    <t>A013180</t>
  </si>
  <si>
    <t>A01314</t>
  </si>
  <si>
    <t>A04204</t>
  </si>
  <si>
    <t>A04205</t>
  </si>
  <si>
    <t>액젓</t>
  </si>
  <si>
    <t>오징어채</t>
  </si>
  <si>
    <t>A013130</t>
  </si>
  <si>
    <t>A01318</t>
  </si>
  <si>
    <t>A04304</t>
  </si>
  <si>
    <t>북어채</t>
  </si>
  <si>
    <t>A013140</t>
  </si>
  <si>
    <t>A01319</t>
  </si>
  <si>
    <t>A04305</t>
  </si>
  <si>
    <t>게</t>
  </si>
  <si>
    <t>A013070</t>
  </si>
  <si>
    <t>전복</t>
  </si>
  <si>
    <t>A013100</t>
  </si>
  <si>
    <t>A014</t>
    <phoneticPr fontId="4" type="noConversion"/>
  </si>
  <si>
    <t>우유, 치즈 및 계란</t>
    <phoneticPr fontId="4" type="noConversion"/>
  </si>
  <si>
    <t>A014000</t>
  </si>
  <si>
    <t>우유</t>
  </si>
  <si>
    <t>A014010</t>
  </si>
  <si>
    <t>A01402</t>
  </si>
  <si>
    <t>A03102</t>
  </si>
  <si>
    <t>배달우유</t>
  </si>
  <si>
    <t>A03103</t>
  </si>
  <si>
    <t>시판우유</t>
  </si>
  <si>
    <t>분유</t>
  </si>
  <si>
    <t>A014020</t>
  </si>
  <si>
    <t>A01403</t>
  </si>
  <si>
    <t>A03104</t>
  </si>
  <si>
    <t>치즈</t>
  </si>
  <si>
    <t>A014030</t>
  </si>
  <si>
    <t>A01404</t>
  </si>
  <si>
    <t>A03105</t>
  </si>
  <si>
    <t>발효유</t>
  </si>
  <si>
    <t>A014040</t>
  </si>
  <si>
    <t>A01405</t>
  </si>
  <si>
    <t>A03106</t>
  </si>
  <si>
    <t>유산균발효유</t>
  </si>
  <si>
    <t>A03107</t>
  </si>
  <si>
    <t>농후발효유</t>
  </si>
  <si>
    <t>달걀</t>
  </si>
  <si>
    <t>A014050</t>
  </si>
  <si>
    <t>A01401</t>
  </si>
  <si>
    <t>A03101</t>
  </si>
  <si>
    <t>A015</t>
    <phoneticPr fontId="4" type="noConversion"/>
  </si>
  <si>
    <t>식용유지</t>
    <phoneticPr fontId="4" type="noConversion"/>
  </si>
  <si>
    <t>A015000</t>
  </si>
  <si>
    <t>참기름</t>
  </si>
  <si>
    <t>A015010</t>
  </si>
  <si>
    <t>A01501</t>
  </si>
  <si>
    <t>A07101</t>
  </si>
  <si>
    <t>식용유</t>
  </si>
  <si>
    <t>A015020</t>
  </si>
  <si>
    <t>A01502</t>
  </si>
  <si>
    <t>A07102</t>
  </si>
  <si>
    <t>A016</t>
    <phoneticPr fontId="4" type="noConversion"/>
  </si>
  <si>
    <t>과일</t>
    <phoneticPr fontId="4" type="noConversion"/>
  </si>
  <si>
    <t>A016000</t>
  </si>
  <si>
    <t>사과</t>
  </si>
  <si>
    <t>A016010</t>
  </si>
  <si>
    <t>A01601</t>
  </si>
  <si>
    <t>A06101</t>
  </si>
  <si>
    <t>배</t>
  </si>
  <si>
    <t>A016020</t>
  </si>
  <si>
    <t>A01602</t>
  </si>
  <si>
    <t>A06102</t>
  </si>
  <si>
    <t>복숭아</t>
  </si>
  <si>
    <t>A016030</t>
  </si>
  <si>
    <t>A01603</t>
  </si>
  <si>
    <t>A06103</t>
  </si>
  <si>
    <t>포도</t>
  </si>
  <si>
    <t>A016040</t>
  </si>
  <si>
    <t>A01604</t>
  </si>
  <si>
    <t>A06104</t>
  </si>
  <si>
    <t>감</t>
  </si>
  <si>
    <t>A016060</t>
  </si>
  <si>
    <t>A01606</t>
  </si>
  <si>
    <t>A06106</t>
  </si>
  <si>
    <t>밤</t>
  </si>
  <si>
    <t>A016050</t>
  </si>
  <si>
    <t>A01605</t>
  </si>
  <si>
    <t>A06105</t>
  </si>
  <si>
    <t>귤</t>
  </si>
  <si>
    <t>A016070</t>
  </si>
  <si>
    <t>A01607</t>
  </si>
  <si>
    <t>A06107</t>
  </si>
  <si>
    <t>오렌지</t>
  </si>
  <si>
    <t>A016080</t>
  </si>
  <si>
    <t>A01608</t>
  </si>
  <si>
    <t>A06108</t>
  </si>
  <si>
    <t>참외</t>
  </si>
  <si>
    <t>A016090</t>
  </si>
  <si>
    <t>A01609</t>
  </si>
  <si>
    <t>A06109</t>
  </si>
  <si>
    <t>수박</t>
  </si>
  <si>
    <t>A016100</t>
  </si>
  <si>
    <t>A01610</t>
  </si>
  <si>
    <t>A06110</t>
  </si>
  <si>
    <t>딸기</t>
  </si>
  <si>
    <t>A016110</t>
  </si>
  <si>
    <t>A01611</t>
  </si>
  <si>
    <t>A06111</t>
  </si>
  <si>
    <t>바나나</t>
  </si>
  <si>
    <t>A016120</t>
  </si>
  <si>
    <t>A01612</t>
  </si>
  <si>
    <t>A06112</t>
  </si>
  <si>
    <t>키위</t>
  </si>
  <si>
    <t>A016130</t>
  </si>
  <si>
    <t>A01613</t>
  </si>
  <si>
    <t>A016140</t>
  </si>
  <si>
    <t>과실통조림</t>
  </si>
  <si>
    <t>A01614</t>
  </si>
  <si>
    <t>A06113</t>
  </si>
  <si>
    <t>A017</t>
    <phoneticPr fontId="4" type="noConversion"/>
  </si>
  <si>
    <t>채소 및 해조</t>
    <phoneticPr fontId="4" type="noConversion"/>
  </si>
  <si>
    <t>A017000</t>
  </si>
  <si>
    <t>배추</t>
  </si>
  <si>
    <t>A017010</t>
  </si>
  <si>
    <t>A01703</t>
  </si>
  <si>
    <t>A05103</t>
  </si>
  <si>
    <t>상추</t>
  </si>
  <si>
    <t>A017020</t>
  </si>
  <si>
    <t>A01711</t>
  </si>
  <si>
    <t>A05109</t>
  </si>
  <si>
    <t>A017030</t>
  </si>
  <si>
    <t>양상추</t>
  </si>
  <si>
    <t>A01705</t>
  </si>
  <si>
    <t>시금치</t>
  </si>
  <si>
    <t>A017040</t>
  </si>
  <si>
    <t>A01709</t>
  </si>
  <si>
    <t>A05107</t>
  </si>
  <si>
    <t>양배추</t>
  </si>
  <si>
    <t>A017050</t>
  </si>
  <si>
    <t>A01704</t>
  </si>
  <si>
    <t>A05104</t>
  </si>
  <si>
    <t>미나리</t>
  </si>
  <si>
    <t>A017060</t>
  </si>
  <si>
    <t>A01724</t>
  </si>
  <si>
    <t>A05121</t>
  </si>
  <si>
    <t>깻잎</t>
  </si>
  <si>
    <t>A017070</t>
  </si>
  <si>
    <t>A01725</t>
  </si>
  <si>
    <t>A05122</t>
  </si>
  <si>
    <t>부추</t>
  </si>
  <si>
    <t>A017080</t>
  </si>
  <si>
    <t>A01726</t>
  </si>
  <si>
    <t>A05123</t>
  </si>
  <si>
    <t>무</t>
  </si>
  <si>
    <t>A017090</t>
  </si>
  <si>
    <t>A01701</t>
  </si>
  <si>
    <t>A05101</t>
  </si>
  <si>
    <t>열무</t>
  </si>
  <si>
    <t>A017100</t>
  </si>
  <si>
    <t>A01702</t>
  </si>
  <si>
    <t>A05102</t>
  </si>
  <si>
    <t>당근</t>
  </si>
  <si>
    <t>A017110</t>
  </si>
  <si>
    <t>A01712</t>
  </si>
  <si>
    <t>A05110</t>
  </si>
  <si>
    <t>감자</t>
  </si>
  <si>
    <t>A017120</t>
  </si>
  <si>
    <t>A01717</t>
  </si>
  <si>
    <t>A05115</t>
  </si>
  <si>
    <t>고구마</t>
  </si>
  <si>
    <t>A017130</t>
  </si>
  <si>
    <t>A01718</t>
  </si>
  <si>
    <t>A05116</t>
  </si>
  <si>
    <t>도라지</t>
  </si>
  <si>
    <t>A017140</t>
  </si>
  <si>
    <t>A01719</t>
  </si>
  <si>
    <t>A05117</t>
  </si>
  <si>
    <t>콩나물</t>
  </si>
  <si>
    <t>A017150</t>
  </si>
  <si>
    <t>A01710</t>
  </si>
  <si>
    <t>A05108</t>
  </si>
  <si>
    <t>버섯</t>
  </si>
  <si>
    <t>A017160</t>
  </si>
  <si>
    <t>A01720</t>
  </si>
  <si>
    <t>A05118</t>
  </si>
  <si>
    <t>오이</t>
  </si>
  <si>
    <t>A017170</t>
  </si>
  <si>
    <t>A01713</t>
  </si>
  <si>
    <t>A05111</t>
  </si>
  <si>
    <t>풋고추</t>
  </si>
  <si>
    <t>A017180</t>
  </si>
  <si>
    <t>A01722</t>
  </si>
  <si>
    <t>A05120</t>
  </si>
  <si>
    <t>호박</t>
  </si>
  <si>
    <t>A017190</t>
  </si>
  <si>
    <t>A01714</t>
  </si>
  <si>
    <t>A05112</t>
  </si>
  <si>
    <t>가지</t>
  </si>
  <si>
    <t>A017200</t>
  </si>
  <si>
    <t>A01715</t>
  </si>
  <si>
    <t>A05113</t>
  </si>
  <si>
    <t>토마토</t>
  </si>
  <si>
    <t>A017210</t>
  </si>
  <si>
    <t>A01716</t>
  </si>
  <si>
    <t>A05114</t>
  </si>
  <si>
    <t>파</t>
  </si>
  <si>
    <t>A017220</t>
  </si>
  <si>
    <t>A01707</t>
  </si>
  <si>
    <t>A05105</t>
  </si>
  <si>
    <t>양파</t>
  </si>
  <si>
    <t>A017230</t>
  </si>
  <si>
    <t>A01708</t>
  </si>
  <si>
    <t>A05106</t>
  </si>
  <si>
    <t>마늘</t>
  </si>
  <si>
    <t>A017240</t>
  </si>
  <si>
    <t>A01902</t>
  </si>
  <si>
    <t>A07202</t>
  </si>
  <si>
    <t>브로콜리</t>
  </si>
  <si>
    <t>A017250</t>
  </si>
  <si>
    <t>A01706</t>
  </si>
  <si>
    <t>고사리</t>
  </si>
  <si>
    <t>A017260</t>
  </si>
  <si>
    <t>A01721</t>
  </si>
  <si>
    <t>A05119</t>
  </si>
  <si>
    <t>A017270</t>
  </si>
  <si>
    <t>피망</t>
  </si>
  <si>
    <t>A01723</t>
  </si>
  <si>
    <t>A017280</t>
  </si>
  <si>
    <t>단무지</t>
  </si>
  <si>
    <t>A01731</t>
  </si>
  <si>
    <t>A05302</t>
  </si>
  <si>
    <t>김</t>
  </si>
  <si>
    <t>A017290</t>
  </si>
  <si>
    <t>A01728</t>
  </si>
  <si>
    <t>A05201</t>
  </si>
  <si>
    <t>맛김</t>
  </si>
  <si>
    <t>A017300</t>
  </si>
  <si>
    <t>A01729</t>
  </si>
  <si>
    <t>A05304</t>
  </si>
  <si>
    <t>미역</t>
  </si>
  <si>
    <t>A017310</t>
  </si>
  <si>
    <t>A01730</t>
  </si>
  <si>
    <t>A05202</t>
  </si>
  <si>
    <t>A018</t>
    <phoneticPr fontId="4" type="noConversion"/>
  </si>
  <si>
    <t>과자, 빙과류 및 당류</t>
    <phoneticPr fontId="4" type="noConversion"/>
  </si>
  <si>
    <t>A018000</t>
  </si>
  <si>
    <t>설탕</t>
  </si>
  <si>
    <t>A018080</t>
  </si>
  <si>
    <t>A01906</t>
  </si>
  <si>
    <t>A07206</t>
  </si>
  <si>
    <t>잼</t>
  </si>
  <si>
    <t>A018090</t>
  </si>
  <si>
    <t>꿀</t>
  </si>
  <si>
    <t>A018100</t>
  </si>
  <si>
    <t>A01809</t>
  </si>
  <si>
    <t>A11101</t>
  </si>
  <si>
    <t>물엿</t>
  </si>
  <si>
    <t>A018110</t>
  </si>
  <si>
    <t>A01915</t>
  </si>
  <si>
    <t>A07216</t>
  </si>
  <si>
    <t>초콜릿</t>
  </si>
  <si>
    <t>A018010</t>
  </si>
  <si>
    <t>A01805</t>
  </si>
  <si>
    <t>A08111</t>
  </si>
  <si>
    <t>사탕</t>
  </si>
  <si>
    <t>A018020</t>
  </si>
  <si>
    <t>A01804</t>
  </si>
  <si>
    <t>A08107</t>
  </si>
  <si>
    <t>껌</t>
  </si>
  <si>
    <t>A018030</t>
  </si>
  <si>
    <t>A01806</t>
  </si>
  <si>
    <t>A08112</t>
  </si>
  <si>
    <t>아이스크림</t>
  </si>
  <si>
    <t>A018040</t>
  </si>
  <si>
    <t>A01807</t>
  </si>
  <si>
    <t>A08114</t>
  </si>
  <si>
    <t>A01808</t>
  </si>
  <si>
    <t>A08115</t>
  </si>
  <si>
    <t>아이스캔디</t>
  </si>
  <si>
    <t>비스킷</t>
  </si>
  <si>
    <t>A018050</t>
  </si>
  <si>
    <t>A01801</t>
  </si>
  <si>
    <t>A08108</t>
  </si>
  <si>
    <t>A08109</t>
  </si>
  <si>
    <t>크래커</t>
  </si>
  <si>
    <t>스낵과자</t>
  </si>
  <si>
    <t>A018060</t>
  </si>
  <si>
    <t>A01802</t>
  </si>
  <si>
    <t>A08110</t>
  </si>
  <si>
    <t>A018070</t>
  </si>
  <si>
    <t>쵸코파이</t>
  </si>
  <si>
    <t>A01803</t>
  </si>
  <si>
    <t>A08104</t>
  </si>
  <si>
    <t>A019</t>
    <phoneticPr fontId="4" type="noConversion"/>
  </si>
  <si>
    <t>기타 식료품</t>
    <phoneticPr fontId="4" type="noConversion"/>
  </si>
  <si>
    <t>A019000</t>
  </si>
  <si>
    <t>A019010</t>
  </si>
  <si>
    <t>고춧가루</t>
  </si>
  <si>
    <t>A01901</t>
  </si>
  <si>
    <t>A07201</t>
  </si>
  <si>
    <t>건고추</t>
  </si>
  <si>
    <t>참깨</t>
  </si>
  <si>
    <t>A019020</t>
  </si>
  <si>
    <t>A01905</t>
  </si>
  <si>
    <t>A07205</t>
  </si>
  <si>
    <t>생강</t>
  </si>
  <si>
    <t>A019030</t>
  </si>
  <si>
    <t>A01903</t>
  </si>
  <si>
    <t>A07203</t>
  </si>
  <si>
    <t>소금</t>
  </si>
  <si>
    <t>A019040</t>
  </si>
  <si>
    <t>A01904</t>
  </si>
  <si>
    <t>A07204</t>
  </si>
  <si>
    <t>간장</t>
  </si>
  <si>
    <t>A019050</t>
  </si>
  <si>
    <t>A01909</t>
  </si>
  <si>
    <t>A07210</t>
  </si>
  <si>
    <t>된장</t>
  </si>
  <si>
    <t>A019060</t>
  </si>
  <si>
    <t>A01910</t>
  </si>
  <si>
    <t>A07211</t>
  </si>
  <si>
    <t>고추장</t>
  </si>
  <si>
    <t>A019080</t>
  </si>
  <si>
    <t>A01908</t>
  </si>
  <si>
    <t>A07209</t>
  </si>
  <si>
    <t>카레</t>
  </si>
  <si>
    <t>A019090</t>
  </si>
  <si>
    <t>A01914</t>
  </si>
  <si>
    <t>A07215</t>
  </si>
  <si>
    <t>A019100</t>
  </si>
  <si>
    <t>케찹</t>
  </si>
  <si>
    <t>A01913</t>
  </si>
  <si>
    <t>A07214</t>
  </si>
  <si>
    <t>드레싱</t>
  </si>
  <si>
    <t>A019110</t>
  </si>
  <si>
    <t>A01912</t>
  </si>
  <si>
    <t>A07213</t>
  </si>
  <si>
    <t>마요네즈</t>
  </si>
  <si>
    <t>혼합조미료</t>
  </si>
  <si>
    <t>A019120</t>
  </si>
  <si>
    <t>A01907</t>
  </si>
  <si>
    <t>A07208</t>
  </si>
  <si>
    <t>A07207</t>
  </si>
  <si>
    <t>발효조미료</t>
  </si>
  <si>
    <t>스프</t>
  </si>
  <si>
    <t>A019130</t>
  </si>
  <si>
    <t>A019070</t>
  </si>
  <si>
    <t>양념장</t>
  </si>
  <si>
    <t>A01911</t>
  </si>
  <si>
    <t>A07212</t>
  </si>
  <si>
    <t>이유식</t>
  </si>
  <si>
    <t>A019140</t>
  </si>
  <si>
    <t>A01916</t>
  </si>
  <si>
    <t>김치</t>
  </si>
  <si>
    <t>A019150</t>
  </si>
  <si>
    <t>A01727</t>
  </si>
  <si>
    <t>A05303</t>
  </si>
  <si>
    <t>밑반찬</t>
  </si>
  <si>
    <t>A019160</t>
  </si>
  <si>
    <t>냉동식품</t>
  </si>
  <si>
    <t>A019170</t>
  </si>
  <si>
    <t>A01917</t>
  </si>
  <si>
    <t>A08105</t>
  </si>
  <si>
    <t>냉동만두</t>
  </si>
  <si>
    <t>즉석식품</t>
  </si>
  <si>
    <t>A019180</t>
  </si>
  <si>
    <t>A01918</t>
  </si>
  <si>
    <t>A11102</t>
  </si>
  <si>
    <t>식초</t>
  </si>
  <si>
    <t>삼각김밥</t>
  </si>
  <si>
    <t>A019190</t>
  </si>
  <si>
    <t>01.2</t>
    <phoneticPr fontId="4" type="noConversion"/>
  </si>
  <si>
    <t>비주류 음료</t>
    <phoneticPr fontId="4" type="noConversion"/>
  </si>
  <si>
    <t>A020000</t>
  </si>
  <si>
    <t>A021</t>
    <phoneticPr fontId="4" type="noConversion"/>
  </si>
  <si>
    <t>커피, 차 및 코코아</t>
    <phoneticPr fontId="4" type="noConversion"/>
  </si>
  <si>
    <t>A021000</t>
  </si>
  <si>
    <t>커피</t>
  </si>
  <si>
    <t>A021010</t>
  </si>
  <si>
    <t>A09101</t>
  </si>
  <si>
    <t>A021020</t>
  </si>
  <si>
    <t>커피크림</t>
  </si>
  <si>
    <t>A09102</t>
  </si>
  <si>
    <t>차</t>
  </si>
  <si>
    <t>A021030</t>
  </si>
  <si>
    <t>A09104</t>
  </si>
  <si>
    <t>녹차</t>
  </si>
  <si>
    <t>A09105</t>
  </si>
  <si>
    <t>보리차</t>
  </si>
  <si>
    <t>A021040</t>
  </si>
  <si>
    <t>차음료</t>
  </si>
  <si>
    <t>A022</t>
    <phoneticPr fontId="4" type="noConversion"/>
  </si>
  <si>
    <t>생수, 청량음료, 과일주스 및 채소주스</t>
    <phoneticPr fontId="4" type="noConversion"/>
  </si>
  <si>
    <t>A022000</t>
  </si>
  <si>
    <t>A022010</t>
  </si>
  <si>
    <t>과일주스</t>
  </si>
  <si>
    <t>A02203</t>
  </si>
  <si>
    <t>A09203</t>
  </si>
  <si>
    <t>오렌지쥬스</t>
  </si>
  <si>
    <t>생수</t>
  </si>
  <si>
    <t>A022030</t>
  </si>
  <si>
    <t>A02205</t>
  </si>
  <si>
    <t>A09205</t>
  </si>
  <si>
    <t>혼합음료</t>
  </si>
  <si>
    <t>A022060</t>
  </si>
  <si>
    <t>A02206</t>
  </si>
  <si>
    <t>A09206</t>
  </si>
  <si>
    <t>탄산음료</t>
  </si>
  <si>
    <t>A022050</t>
  </si>
  <si>
    <t>A09201</t>
  </si>
  <si>
    <t>콜라</t>
  </si>
  <si>
    <t>A09202</t>
  </si>
  <si>
    <t>사이다</t>
  </si>
  <si>
    <t>두유</t>
  </si>
  <si>
    <t>A022020</t>
  </si>
  <si>
    <t>A02204</t>
  </si>
  <si>
    <t>A09204</t>
  </si>
  <si>
    <t>기능성음료</t>
  </si>
  <si>
    <t>A022040</t>
  </si>
  <si>
    <t>F01109</t>
  </si>
  <si>
    <t>F01108</t>
  </si>
  <si>
    <t>피로회복제(일반)</t>
  </si>
  <si>
    <t>02</t>
  </si>
  <si>
    <t>주류 및 담배</t>
    <phoneticPr fontId="4" type="noConversion"/>
  </si>
  <si>
    <t>02.1</t>
  </si>
  <si>
    <t>주류</t>
    <phoneticPr fontId="4" type="noConversion"/>
  </si>
  <si>
    <t>B010000</t>
  </si>
  <si>
    <t>B011</t>
    <phoneticPr fontId="4" type="noConversion"/>
  </si>
  <si>
    <t>B011000</t>
  </si>
  <si>
    <t>소주</t>
  </si>
  <si>
    <t>B011010</t>
  </si>
  <si>
    <t>B01102</t>
  </si>
  <si>
    <t>A10102</t>
  </si>
  <si>
    <t>B011050</t>
  </si>
  <si>
    <t>위스키</t>
  </si>
  <si>
    <t>B01105</t>
  </si>
  <si>
    <t>A10105</t>
  </si>
  <si>
    <t>국산위스키</t>
  </si>
  <si>
    <t>A10106</t>
  </si>
  <si>
    <t>수입위스키</t>
  </si>
  <si>
    <t>과실주</t>
  </si>
  <si>
    <t>B011020</t>
  </si>
  <si>
    <t>B01107</t>
  </si>
  <si>
    <t>A10108</t>
  </si>
  <si>
    <t>맥주</t>
  </si>
  <si>
    <t>B011030</t>
  </si>
  <si>
    <t>B01101</t>
  </si>
  <si>
    <t>A10101</t>
  </si>
  <si>
    <t>막걸리</t>
  </si>
  <si>
    <t>B011040</t>
  </si>
  <si>
    <t>B01104</t>
  </si>
  <si>
    <t>A10104</t>
  </si>
  <si>
    <t>탁주</t>
  </si>
  <si>
    <t>B01103</t>
  </si>
  <si>
    <t>A10103</t>
  </si>
  <si>
    <t>청주</t>
  </si>
  <si>
    <t>약주</t>
  </si>
  <si>
    <t>B011060</t>
  </si>
  <si>
    <t>B01106</t>
  </si>
  <si>
    <t>A10107</t>
  </si>
  <si>
    <t>02.2</t>
  </si>
  <si>
    <t>담배</t>
    <phoneticPr fontId="4" type="noConversion"/>
  </si>
  <si>
    <t>B020000</t>
  </si>
  <si>
    <t>B021</t>
    <phoneticPr fontId="4" type="noConversion"/>
  </si>
  <si>
    <t>B021000</t>
  </si>
  <si>
    <t>B021010</t>
  </si>
  <si>
    <t>담배(국산)</t>
  </si>
  <si>
    <t>B02101</t>
  </si>
  <si>
    <t>J03101</t>
  </si>
  <si>
    <t>B021020</t>
  </si>
  <si>
    <t>담배(수입)</t>
  </si>
  <si>
    <t>B02102</t>
  </si>
  <si>
    <t>J03102</t>
  </si>
  <si>
    <t>03</t>
  </si>
  <si>
    <t>의류 및 신발</t>
    <phoneticPr fontId="4" type="noConversion"/>
  </si>
  <si>
    <t>03.1</t>
  </si>
  <si>
    <t xml:space="preserve">의류 </t>
    <phoneticPr fontId="4" type="noConversion"/>
  </si>
  <si>
    <t>C010000</t>
  </si>
  <si>
    <t>C011</t>
    <phoneticPr fontId="4" type="noConversion"/>
  </si>
  <si>
    <t>남자의류</t>
    <phoneticPr fontId="4" type="noConversion"/>
  </si>
  <si>
    <t>C011000</t>
  </si>
  <si>
    <t>C011010</t>
  </si>
  <si>
    <t>남자정장</t>
  </si>
  <si>
    <t>C01101</t>
  </si>
  <si>
    <t>E01101</t>
  </si>
  <si>
    <t>C011020</t>
  </si>
  <si>
    <t>남자외투</t>
  </si>
  <si>
    <t>C01102</t>
  </si>
  <si>
    <t>E01104</t>
  </si>
  <si>
    <t>남자코트</t>
  </si>
  <si>
    <t>C01107</t>
  </si>
  <si>
    <t>E01115</t>
  </si>
  <si>
    <t>남자자켓</t>
  </si>
  <si>
    <t>남자하의</t>
  </si>
  <si>
    <t>C011050</t>
  </si>
  <si>
    <t>C01106</t>
  </si>
  <si>
    <t>E01113</t>
  </si>
  <si>
    <t>남자바지</t>
  </si>
  <si>
    <t>남자학생복</t>
  </si>
  <si>
    <t>C011040</t>
  </si>
  <si>
    <t>C01103</t>
  </si>
  <si>
    <t>E01107</t>
  </si>
  <si>
    <t>남자상의</t>
  </si>
  <si>
    <t>C011030</t>
  </si>
  <si>
    <t>C01108</t>
  </si>
  <si>
    <t>E02101</t>
  </si>
  <si>
    <t>드레스셔츠</t>
  </si>
  <si>
    <t>C01109</t>
  </si>
  <si>
    <t>E02102</t>
  </si>
  <si>
    <t>남방셔츠</t>
  </si>
  <si>
    <t>남자내의</t>
  </si>
  <si>
    <t>C011060</t>
  </si>
  <si>
    <t>C01113</t>
  </si>
  <si>
    <t>E03101</t>
  </si>
  <si>
    <t>C01114</t>
  </si>
  <si>
    <t>E03104</t>
  </si>
  <si>
    <t>남자팬티</t>
  </si>
  <si>
    <t>C01115</t>
  </si>
  <si>
    <t>E03103</t>
  </si>
  <si>
    <t>런닝셔츠</t>
  </si>
  <si>
    <t>C012</t>
    <phoneticPr fontId="4" type="noConversion"/>
  </si>
  <si>
    <t>여자의류</t>
    <phoneticPr fontId="4" type="noConversion"/>
  </si>
  <si>
    <t>C012000</t>
  </si>
  <si>
    <t>C012010</t>
  </si>
  <si>
    <t>여자정장</t>
  </si>
  <si>
    <t>C01201</t>
  </si>
  <si>
    <t>E01102</t>
  </si>
  <si>
    <t>C012020</t>
  </si>
  <si>
    <t>여자외투</t>
  </si>
  <si>
    <t>C01203</t>
  </si>
  <si>
    <t>E01105</t>
  </si>
  <si>
    <t>여자코트</t>
  </si>
  <si>
    <t>C01207</t>
  </si>
  <si>
    <t>E01116</t>
  </si>
  <si>
    <t>여자자켓</t>
  </si>
  <si>
    <t>C01204</t>
  </si>
  <si>
    <t>E01106</t>
  </si>
  <si>
    <t>한복</t>
  </si>
  <si>
    <t>원피스</t>
  </si>
  <si>
    <t>C012030</t>
  </si>
  <si>
    <t>C01202</t>
  </si>
  <si>
    <t>E01103</t>
  </si>
  <si>
    <t>여자하의</t>
  </si>
  <si>
    <t>C012060</t>
  </si>
  <si>
    <t>C01206</t>
  </si>
  <si>
    <t>E01114</t>
  </si>
  <si>
    <t>여자바지</t>
  </si>
  <si>
    <t>C01208</t>
  </si>
  <si>
    <t>E01117</t>
  </si>
  <si>
    <t>스커트</t>
  </si>
  <si>
    <t>여자학생복</t>
  </si>
  <si>
    <t>C012050</t>
  </si>
  <si>
    <t>C01205</t>
  </si>
  <si>
    <t>E01108</t>
  </si>
  <si>
    <t>여자상의</t>
  </si>
  <si>
    <t>C012040</t>
  </si>
  <si>
    <t>C01210</t>
  </si>
  <si>
    <t>E02106</t>
  </si>
  <si>
    <t>블라우스</t>
  </si>
  <si>
    <t>C01211</t>
  </si>
  <si>
    <t>E03102</t>
  </si>
  <si>
    <t>여자내의</t>
  </si>
  <si>
    <t>C012070</t>
  </si>
  <si>
    <t>C01212</t>
  </si>
  <si>
    <t>E03105</t>
  </si>
  <si>
    <t>여자팬티</t>
  </si>
  <si>
    <t>C01213</t>
  </si>
  <si>
    <t>E03106</t>
  </si>
  <si>
    <t>브래지어</t>
  </si>
  <si>
    <t>C013</t>
    <phoneticPr fontId="4" type="noConversion"/>
  </si>
  <si>
    <t>캐주얼의류</t>
    <phoneticPr fontId="13" type="noConversion"/>
  </si>
  <si>
    <t>C013000</t>
  </si>
  <si>
    <t>점퍼</t>
  </si>
  <si>
    <t>C013010</t>
  </si>
  <si>
    <t>C01104</t>
  </si>
  <si>
    <t>E01111</t>
  </si>
  <si>
    <t>잠바</t>
  </si>
  <si>
    <t>청바지</t>
  </si>
  <si>
    <t>C013040</t>
  </si>
  <si>
    <t>C01105</t>
  </si>
  <si>
    <t>E01112</t>
  </si>
  <si>
    <t>티셔츠</t>
  </si>
  <si>
    <t>C013020</t>
  </si>
  <si>
    <t>C01110</t>
  </si>
  <si>
    <t>E02103</t>
  </si>
  <si>
    <t>T셔츠</t>
  </si>
  <si>
    <t>스웨터</t>
  </si>
  <si>
    <t>C013030</t>
  </si>
  <si>
    <t>C01111</t>
  </si>
  <si>
    <t>E02104</t>
  </si>
  <si>
    <t>남자스웨타</t>
  </si>
  <si>
    <t>C01209</t>
  </si>
  <si>
    <t>E02105</t>
  </si>
  <si>
    <t>여자스웨타</t>
  </si>
  <si>
    <t>운동복</t>
  </si>
  <si>
    <t>C013050</t>
  </si>
  <si>
    <t>C01112</t>
  </si>
  <si>
    <t>H02120</t>
  </si>
  <si>
    <t>등산복</t>
  </si>
  <si>
    <t>C013060</t>
  </si>
  <si>
    <t>C014</t>
    <phoneticPr fontId="4" type="noConversion"/>
  </si>
  <si>
    <t>아동복 · 유아복</t>
    <phoneticPr fontId="13" type="noConversion"/>
  </si>
  <si>
    <t>C014000</t>
  </si>
  <si>
    <t>아동복</t>
  </si>
  <si>
    <t>C014010</t>
  </si>
  <si>
    <t>C01301</t>
  </si>
  <si>
    <t>E01109</t>
  </si>
  <si>
    <t>유아복</t>
  </si>
  <si>
    <t>C014020</t>
  </si>
  <si>
    <t>C01302</t>
  </si>
  <si>
    <t>E01110</t>
  </si>
  <si>
    <t>C015</t>
    <phoneticPr fontId="4" type="noConversion"/>
  </si>
  <si>
    <t>기타 의류 및 의류 장신구</t>
    <phoneticPr fontId="4" type="noConversion"/>
  </si>
  <si>
    <t>C015000</t>
  </si>
  <si>
    <t>양말</t>
  </si>
  <si>
    <t>C015010</t>
  </si>
  <si>
    <t>C01401</t>
  </si>
  <si>
    <t>E04101</t>
  </si>
  <si>
    <t>남자양말</t>
  </si>
  <si>
    <t>E04102</t>
  </si>
  <si>
    <t>여자양말</t>
  </si>
  <si>
    <t>E04103</t>
  </si>
  <si>
    <t>아동양말</t>
  </si>
  <si>
    <t>C01214</t>
  </si>
  <si>
    <t>E04104</t>
  </si>
  <si>
    <t>스타킹</t>
  </si>
  <si>
    <t>모자</t>
  </si>
  <si>
    <t>C015020</t>
  </si>
  <si>
    <t>C01403</t>
  </si>
  <si>
    <t>E04106</t>
  </si>
  <si>
    <t>넥타이</t>
  </si>
  <si>
    <t>C015030</t>
  </si>
  <si>
    <t>C01402</t>
  </si>
  <si>
    <t>E04105</t>
  </si>
  <si>
    <t>장갑</t>
  </si>
  <si>
    <t>C015040</t>
  </si>
  <si>
    <t>C01404</t>
  </si>
  <si>
    <t>E04107</t>
  </si>
  <si>
    <t>면장갑</t>
  </si>
  <si>
    <t>C016</t>
    <phoneticPr fontId="4" type="noConversion"/>
  </si>
  <si>
    <t>의류 세탁, 수선 및 임차</t>
    <phoneticPr fontId="4" type="noConversion"/>
  </si>
  <si>
    <t>C016000</t>
  </si>
  <si>
    <t>의복수선료</t>
  </si>
  <si>
    <t>C016010</t>
  </si>
  <si>
    <t>C01502</t>
  </si>
  <si>
    <t>E06102</t>
  </si>
  <si>
    <t>세탁료</t>
  </si>
  <si>
    <t>C016020</t>
  </si>
  <si>
    <t>C01501</t>
  </si>
  <si>
    <t>E06101</t>
  </si>
  <si>
    <t>C016030</t>
  </si>
  <si>
    <t>신발세탁료</t>
  </si>
  <si>
    <t>의복대여료</t>
  </si>
  <si>
    <t>C016040</t>
  </si>
  <si>
    <t>03.2</t>
  </si>
  <si>
    <t>신발</t>
    <phoneticPr fontId="4" type="noConversion"/>
  </si>
  <si>
    <t>C020000</t>
  </si>
  <si>
    <t>C021</t>
    <phoneticPr fontId="4" type="noConversion"/>
  </si>
  <si>
    <t>C021000</t>
  </si>
  <si>
    <t>아동화</t>
  </si>
  <si>
    <t>C021010</t>
  </si>
  <si>
    <t>C02103</t>
  </si>
  <si>
    <t>E05103</t>
  </si>
  <si>
    <t>C021020</t>
  </si>
  <si>
    <t>남자구두</t>
  </si>
  <si>
    <t>C02101</t>
  </si>
  <si>
    <t>E05101</t>
  </si>
  <si>
    <t>C021030</t>
  </si>
  <si>
    <t>여자구두</t>
  </si>
  <si>
    <t>C02102</t>
  </si>
  <si>
    <t>E05102</t>
  </si>
  <si>
    <t>운동화</t>
  </si>
  <si>
    <t>C021040</t>
  </si>
  <si>
    <t>C02104</t>
  </si>
  <si>
    <t>E05104</t>
  </si>
  <si>
    <t>실내화</t>
  </si>
  <si>
    <t>C021050</t>
  </si>
  <si>
    <t>C02105</t>
  </si>
  <si>
    <t>E05105</t>
  </si>
  <si>
    <t>04</t>
  </si>
  <si>
    <t>주택, 수도, 전기 및 연료</t>
    <phoneticPr fontId="4" type="noConversion"/>
  </si>
  <si>
    <t>04.1</t>
  </si>
  <si>
    <t>주택 임차료</t>
    <phoneticPr fontId="4" type="noConversion"/>
  </si>
  <si>
    <t>D010000</t>
  </si>
  <si>
    <t>D011</t>
    <phoneticPr fontId="4" type="noConversion"/>
  </si>
  <si>
    <t>주택임차료</t>
    <phoneticPr fontId="4" type="noConversion"/>
  </si>
  <si>
    <t>D011000</t>
  </si>
  <si>
    <t>전세</t>
  </si>
  <si>
    <t>D011010</t>
  </si>
  <si>
    <t>D01101</t>
  </si>
  <si>
    <t>월세</t>
  </si>
  <si>
    <t>D011020</t>
  </si>
  <si>
    <t>D01102</t>
  </si>
  <si>
    <t>04.2</t>
  </si>
  <si>
    <t>의제 주택 임차료</t>
    <phoneticPr fontId="4" type="noConversion"/>
  </si>
  <si>
    <t>D020000</t>
  </si>
  <si>
    <t>D021</t>
    <phoneticPr fontId="4" type="noConversion"/>
  </si>
  <si>
    <t>D021000</t>
  </si>
  <si>
    <t>04.3</t>
  </si>
  <si>
    <t>주거시설 유지·보수</t>
    <phoneticPr fontId="4" type="noConversion"/>
  </si>
  <si>
    <t>D030000</t>
  </si>
  <si>
    <t>D031</t>
    <phoneticPr fontId="4" type="noConversion"/>
  </si>
  <si>
    <t>D031000</t>
  </si>
  <si>
    <t>D031010</t>
  </si>
  <si>
    <t>벽지</t>
  </si>
  <si>
    <t>D02101</t>
  </si>
  <si>
    <t>도배지</t>
  </si>
  <si>
    <t>D031020</t>
  </si>
  <si>
    <t>바닥재</t>
  </si>
  <si>
    <t>D02104</t>
  </si>
  <si>
    <t>비닐장판지</t>
  </si>
  <si>
    <t>D031030</t>
  </si>
  <si>
    <t>페인트</t>
  </si>
  <si>
    <t>D02102</t>
  </si>
  <si>
    <t>B02103</t>
  </si>
  <si>
    <t>D02103</t>
  </si>
  <si>
    <t>B02105</t>
  </si>
  <si>
    <t>PVC창틀</t>
  </si>
  <si>
    <t>D031040</t>
  </si>
  <si>
    <t>세면기</t>
  </si>
  <si>
    <t>설비수리비</t>
  </si>
  <si>
    <t>D031050</t>
  </si>
  <si>
    <t>D02105</t>
  </si>
  <si>
    <t>B02201</t>
  </si>
  <si>
    <t>설비공임</t>
  </si>
  <si>
    <t>도장공임</t>
  </si>
  <si>
    <t>B02202</t>
  </si>
  <si>
    <t>B02203</t>
  </si>
  <si>
    <t>도배공임</t>
  </si>
  <si>
    <t>D031060</t>
  </si>
  <si>
    <t>보일러수리비</t>
  </si>
  <si>
    <t>E03202</t>
  </si>
  <si>
    <t>B02204</t>
  </si>
  <si>
    <t>D031070</t>
  </si>
  <si>
    <t>도시가스연결비</t>
  </si>
  <si>
    <t>E03203</t>
  </si>
  <si>
    <t>B02205</t>
  </si>
  <si>
    <t>04.4</t>
    <phoneticPr fontId="4" type="noConversion"/>
  </si>
  <si>
    <t>수도 및 주거관련 서비스</t>
    <phoneticPr fontId="4" type="noConversion"/>
  </si>
  <si>
    <t>D040000</t>
  </si>
  <si>
    <t>D041</t>
    <phoneticPr fontId="4" type="noConversion"/>
  </si>
  <si>
    <t>상하수도료</t>
    <phoneticPr fontId="4" type="noConversion"/>
  </si>
  <si>
    <t>D041000</t>
  </si>
  <si>
    <t>상수도료</t>
  </si>
  <si>
    <t>D041010</t>
  </si>
  <si>
    <t>D03101</t>
  </si>
  <si>
    <t>하수도료</t>
  </si>
  <si>
    <t>D041020</t>
  </si>
  <si>
    <t>D03102</t>
  </si>
  <si>
    <t>D042</t>
    <phoneticPr fontId="4" type="noConversion"/>
  </si>
  <si>
    <t>기타 주거관련 서비스</t>
    <phoneticPr fontId="4" type="noConversion"/>
  </si>
  <si>
    <t>D042000</t>
  </si>
  <si>
    <t>쓰레기봉투료</t>
  </si>
  <si>
    <t>D042020</t>
  </si>
  <si>
    <t>D03202</t>
  </si>
  <si>
    <t>D06101</t>
  </si>
  <si>
    <t>정화조청소료</t>
  </si>
  <si>
    <t>D042030</t>
  </si>
  <si>
    <t>D03203</t>
  </si>
  <si>
    <t>D06102</t>
  </si>
  <si>
    <t>공동주택관리비</t>
  </si>
  <si>
    <t>D042010</t>
  </si>
  <si>
    <t>D03201</t>
  </si>
  <si>
    <t>B03101</t>
  </si>
  <si>
    <t>04.5</t>
    <phoneticPr fontId="13" type="noConversion"/>
  </si>
  <si>
    <t>전기, 가스 및 기타 연료</t>
    <phoneticPr fontId="4" type="noConversion"/>
  </si>
  <si>
    <t>D050000</t>
  </si>
  <si>
    <t>D051</t>
    <phoneticPr fontId="4" type="noConversion"/>
  </si>
  <si>
    <t xml:space="preserve">전기   </t>
    <phoneticPr fontId="4" type="noConversion"/>
  </si>
  <si>
    <t>D051000</t>
  </si>
  <si>
    <t>전기료</t>
  </si>
  <si>
    <t>D051010</t>
  </si>
  <si>
    <t>D04101</t>
  </si>
  <si>
    <t>D052</t>
    <phoneticPr fontId="4" type="noConversion"/>
  </si>
  <si>
    <t>가스</t>
    <phoneticPr fontId="4" type="noConversion"/>
  </si>
  <si>
    <t>D052000</t>
  </si>
  <si>
    <t>도시가스</t>
  </si>
  <si>
    <t>D052010</t>
  </si>
  <si>
    <t>D04202</t>
  </si>
  <si>
    <t>C03104</t>
  </si>
  <si>
    <t>D052020</t>
  </si>
  <si>
    <t>LPG(취사용)</t>
  </si>
  <si>
    <t>D04201</t>
  </si>
  <si>
    <t>C03103</t>
  </si>
  <si>
    <t>D053</t>
    <phoneticPr fontId="4" type="noConversion"/>
  </si>
  <si>
    <t>기타연료 및 에너지</t>
    <phoneticPr fontId="4" type="noConversion"/>
  </si>
  <si>
    <t>D053000</t>
  </si>
  <si>
    <t>등유</t>
  </si>
  <si>
    <t>D053010</t>
  </si>
  <si>
    <t>D04302</t>
  </si>
  <si>
    <t>C03102</t>
  </si>
  <si>
    <t>연탄</t>
  </si>
  <si>
    <t>D053020</t>
  </si>
  <si>
    <t>D04301</t>
  </si>
  <si>
    <t>C03101</t>
  </si>
  <si>
    <t>부탄가스</t>
  </si>
  <si>
    <t>D053040</t>
  </si>
  <si>
    <t>D04203</t>
  </si>
  <si>
    <t>C03105</t>
  </si>
  <si>
    <t>지역난방비</t>
  </si>
  <si>
    <t>D053030</t>
  </si>
  <si>
    <t>D04303</t>
  </si>
  <si>
    <t>05</t>
  </si>
  <si>
    <t>가정용품 및 가사 서비스</t>
    <phoneticPr fontId="4" type="noConversion"/>
  </si>
  <si>
    <t>05.1</t>
  </si>
  <si>
    <t>가구, 가사비품 및 카페트류</t>
    <phoneticPr fontId="4" type="noConversion"/>
  </si>
  <si>
    <t>E010000</t>
  </si>
  <si>
    <t>E011</t>
    <phoneticPr fontId="4" type="noConversion"/>
  </si>
  <si>
    <t>E011000</t>
  </si>
  <si>
    <t>장롱</t>
  </si>
  <si>
    <t>E011010</t>
  </si>
  <si>
    <t>D01104</t>
  </si>
  <si>
    <t>침대</t>
  </si>
  <si>
    <t>E011020</t>
  </si>
  <si>
    <t>D01107</t>
  </si>
  <si>
    <t>거실장</t>
  </si>
  <si>
    <t>E011030</t>
  </si>
  <si>
    <t>D01105</t>
  </si>
  <si>
    <t>소파</t>
  </si>
  <si>
    <t>E011040</t>
  </si>
  <si>
    <t>D01108</t>
  </si>
  <si>
    <t>응접세트</t>
  </si>
  <si>
    <t>책상</t>
  </si>
  <si>
    <t>E011050</t>
  </si>
  <si>
    <t>의자</t>
  </si>
  <si>
    <t>E011060</t>
  </si>
  <si>
    <t>D01103</t>
  </si>
  <si>
    <t>식탁</t>
  </si>
  <si>
    <t>E011070</t>
  </si>
  <si>
    <t>D01109</t>
  </si>
  <si>
    <t>싱크대</t>
  </si>
  <si>
    <t>E011080</t>
  </si>
  <si>
    <t>B02106</t>
  </si>
  <si>
    <t>D01106</t>
  </si>
  <si>
    <t>화장대</t>
  </si>
  <si>
    <t>D05103</t>
  </si>
  <si>
    <t>카펫트</t>
  </si>
  <si>
    <t>05.2</t>
  </si>
  <si>
    <t>가정용 섬유제품</t>
    <phoneticPr fontId="4" type="noConversion"/>
  </si>
  <si>
    <t>E020000</t>
  </si>
  <si>
    <t>E021</t>
    <phoneticPr fontId="4" type="noConversion"/>
  </si>
  <si>
    <t>E021000</t>
  </si>
  <si>
    <t>침구</t>
  </si>
  <si>
    <t>E021010</t>
  </si>
  <si>
    <t>D05101</t>
  </si>
  <si>
    <t>이불</t>
  </si>
  <si>
    <t>D05105</t>
  </si>
  <si>
    <t>침대커버</t>
  </si>
  <si>
    <t>커튼</t>
  </si>
  <si>
    <t>E021020</t>
  </si>
  <si>
    <t>D05104</t>
  </si>
  <si>
    <t>D05102</t>
  </si>
  <si>
    <t>수건</t>
  </si>
  <si>
    <t>05.3</t>
  </si>
  <si>
    <t>가정용 기기</t>
    <phoneticPr fontId="4" type="noConversion"/>
  </si>
  <si>
    <t>E030000</t>
  </si>
  <si>
    <t>E031</t>
    <phoneticPr fontId="4" type="noConversion"/>
  </si>
  <si>
    <t>가정용 기구</t>
    <phoneticPr fontId="4" type="noConversion"/>
  </si>
  <si>
    <t>E031000</t>
  </si>
  <si>
    <t>전기밥솥</t>
  </si>
  <si>
    <t>E031010</t>
  </si>
  <si>
    <t>E03112</t>
  </si>
  <si>
    <t>D02106</t>
  </si>
  <si>
    <t>전기보온밥솥</t>
  </si>
  <si>
    <t>전자레인지</t>
  </si>
  <si>
    <t>E031030</t>
  </si>
  <si>
    <t>D02107</t>
  </si>
  <si>
    <t>E031020</t>
  </si>
  <si>
    <t>가스레인지</t>
  </si>
  <si>
    <t>E03108</t>
  </si>
  <si>
    <t>D02110</t>
  </si>
  <si>
    <t>냉장고</t>
  </si>
  <si>
    <t>E031040</t>
  </si>
  <si>
    <t>김치냉장고</t>
  </si>
  <si>
    <t>E031050</t>
  </si>
  <si>
    <t>E03107</t>
  </si>
  <si>
    <t>D02108</t>
  </si>
  <si>
    <t>정수기</t>
  </si>
  <si>
    <t>에어컨</t>
  </si>
  <si>
    <t>E031060</t>
  </si>
  <si>
    <t>선풍기</t>
  </si>
  <si>
    <t>E031070</t>
  </si>
  <si>
    <t>E031080</t>
  </si>
  <si>
    <t>난방기기</t>
  </si>
  <si>
    <t>E03109</t>
  </si>
  <si>
    <t>D02111</t>
  </si>
  <si>
    <t>난로</t>
  </si>
  <si>
    <t>공기청정기</t>
  </si>
  <si>
    <t>E031090</t>
  </si>
  <si>
    <t>E03113</t>
  </si>
  <si>
    <t>세탁기</t>
  </si>
  <si>
    <t>E031100</t>
  </si>
  <si>
    <t>청소기</t>
  </si>
  <si>
    <t>E031110</t>
  </si>
  <si>
    <t>E03110</t>
  </si>
  <si>
    <t>D02112</t>
  </si>
  <si>
    <t>진공청소기</t>
  </si>
  <si>
    <t>D02109</t>
  </si>
  <si>
    <t>전기후라이팬</t>
  </si>
  <si>
    <t>D02113</t>
  </si>
  <si>
    <t>식기세척기</t>
  </si>
  <si>
    <t>믹서</t>
  </si>
  <si>
    <t>E031120</t>
  </si>
  <si>
    <t>E03111</t>
  </si>
  <si>
    <t>E031130</t>
  </si>
  <si>
    <t>전기매트</t>
  </si>
  <si>
    <t>비데</t>
  </si>
  <si>
    <t>E031140</t>
  </si>
  <si>
    <t>E03114</t>
  </si>
  <si>
    <t>E032</t>
    <phoneticPr fontId="4" type="noConversion"/>
  </si>
  <si>
    <t>가정용 기구 수리서비스</t>
    <phoneticPr fontId="4" type="noConversion"/>
  </si>
  <si>
    <t>E032000</t>
  </si>
  <si>
    <t>가전제품수리비</t>
  </si>
  <si>
    <t>E032010</t>
  </si>
  <si>
    <t>E03201</t>
  </si>
  <si>
    <t>D06105</t>
  </si>
  <si>
    <t>가전제품렌탈비</t>
  </si>
  <si>
    <t>E032020</t>
  </si>
  <si>
    <t>05.4</t>
  </si>
  <si>
    <t>주방용품 및 가정용품</t>
    <phoneticPr fontId="4" type="noConversion"/>
  </si>
  <si>
    <t>E040000</t>
  </si>
  <si>
    <t>E041</t>
    <phoneticPr fontId="4" type="noConversion"/>
  </si>
  <si>
    <t>E041000</t>
  </si>
  <si>
    <t>식기</t>
  </si>
  <si>
    <t>E041010</t>
  </si>
  <si>
    <t>주발</t>
  </si>
  <si>
    <t>D03105</t>
  </si>
  <si>
    <t>접시</t>
  </si>
  <si>
    <t>컵</t>
  </si>
  <si>
    <t>E041020</t>
  </si>
  <si>
    <t>D03106</t>
  </si>
  <si>
    <t>D03107</t>
  </si>
  <si>
    <t>커피잔</t>
  </si>
  <si>
    <t>솥</t>
  </si>
  <si>
    <t>E041030</t>
  </si>
  <si>
    <t>D03103</t>
  </si>
  <si>
    <t>압력솥</t>
  </si>
  <si>
    <t>E041040</t>
  </si>
  <si>
    <t>후라이팬</t>
  </si>
  <si>
    <t>E04108</t>
  </si>
  <si>
    <t>D03108</t>
  </si>
  <si>
    <t>냄비</t>
  </si>
  <si>
    <t>E041050</t>
  </si>
  <si>
    <t>D03104</t>
  </si>
  <si>
    <t>수저</t>
  </si>
  <si>
    <t>E041060</t>
  </si>
  <si>
    <t>D01110</t>
  </si>
  <si>
    <t>쌀통</t>
  </si>
  <si>
    <t>밀폐용기</t>
  </si>
  <si>
    <t>E041070</t>
  </si>
  <si>
    <t>E04109</t>
  </si>
  <si>
    <t>D03109</t>
  </si>
  <si>
    <t>김치통</t>
  </si>
  <si>
    <t>부엌용용구</t>
  </si>
  <si>
    <t>E041080</t>
  </si>
  <si>
    <t>E04110</t>
  </si>
  <si>
    <t>D03110</t>
  </si>
  <si>
    <t>밥상</t>
  </si>
  <si>
    <t>D04102</t>
  </si>
  <si>
    <t>세숫대야</t>
  </si>
  <si>
    <t>05.5</t>
  </si>
  <si>
    <t>가정·정원용 공구 및 장비</t>
    <phoneticPr fontId="4" type="noConversion"/>
  </si>
  <si>
    <t>E050000</t>
  </si>
  <si>
    <t>E051</t>
    <phoneticPr fontId="4" type="noConversion"/>
  </si>
  <si>
    <t>E051000</t>
  </si>
  <si>
    <t>보일러</t>
  </si>
  <si>
    <t>E051010</t>
  </si>
  <si>
    <t>E03115</t>
  </si>
  <si>
    <t>B02104</t>
  </si>
  <si>
    <t>건전지</t>
  </si>
  <si>
    <t>E051020</t>
  </si>
  <si>
    <t>디지털도어록</t>
  </si>
  <si>
    <t>E051030</t>
  </si>
  <si>
    <t>05.6</t>
  </si>
  <si>
    <t>일상 생활용품 및 가사 서비스</t>
    <phoneticPr fontId="4" type="noConversion"/>
  </si>
  <si>
    <t>E060000</t>
  </si>
  <si>
    <t>E061</t>
    <phoneticPr fontId="4" type="noConversion"/>
  </si>
  <si>
    <t>비내구성 가정용품</t>
    <phoneticPr fontId="4" type="noConversion"/>
  </si>
  <si>
    <t>E061000</t>
  </si>
  <si>
    <t>세탁세제</t>
  </si>
  <si>
    <t>E061010</t>
  </si>
  <si>
    <t>D04106</t>
  </si>
  <si>
    <t>세탁비누</t>
  </si>
  <si>
    <t>E05106</t>
  </si>
  <si>
    <t>D04107</t>
  </si>
  <si>
    <t>가루비누</t>
  </si>
  <si>
    <t>E061020</t>
  </si>
  <si>
    <t>E05109</t>
  </si>
  <si>
    <t>D04109</t>
  </si>
  <si>
    <t>섬유연화제</t>
  </si>
  <si>
    <t>전구</t>
  </si>
  <si>
    <t>E061030</t>
  </si>
  <si>
    <t>D04103</t>
  </si>
  <si>
    <t>백열전구</t>
  </si>
  <si>
    <t>D04104</t>
  </si>
  <si>
    <t>형광전구</t>
  </si>
  <si>
    <t>부엌용세제</t>
  </si>
  <si>
    <t>E061040</t>
  </si>
  <si>
    <t>E05107</t>
  </si>
  <si>
    <t>D04108</t>
  </si>
  <si>
    <t>청소용세제</t>
  </si>
  <si>
    <t>E061050</t>
  </si>
  <si>
    <t>E05108</t>
  </si>
  <si>
    <t>살충제</t>
  </si>
  <si>
    <t>E061060</t>
  </si>
  <si>
    <t>E05111</t>
  </si>
  <si>
    <t>D04113</t>
  </si>
  <si>
    <t>가정용비닐용품</t>
  </si>
  <si>
    <t>E061070</t>
  </si>
  <si>
    <t>D04105</t>
  </si>
  <si>
    <t>랩</t>
  </si>
  <si>
    <t>키친타월</t>
  </si>
  <si>
    <t>E061080</t>
  </si>
  <si>
    <t>방향제</t>
  </si>
  <si>
    <t>E061090</t>
  </si>
  <si>
    <t>L01220</t>
  </si>
  <si>
    <t>습기제거제</t>
  </si>
  <si>
    <t>E061100</t>
  </si>
  <si>
    <t>E05110</t>
  </si>
  <si>
    <t>D04110</t>
  </si>
  <si>
    <t>E062</t>
    <phoneticPr fontId="4" type="noConversion"/>
  </si>
  <si>
    <t>가구내 고용 및 가사 서비스</t>
    <phoneticPr fontId="4" type="noConversion"/>
  </si>
  <si>
    <t>E062000</t>
  </si>
  <si>
    <t>가사도우미료</t>
  </si>
  <si>
    <t>E062010</t>
  </si>
  <si>
    <t>E05201</t>
  </si>
  <si>
    <t>D06103</t>
  </si>
  <si>
    <t>가사도우미임료</t>
  </si>
  <si>
    <t>간병도우미료</t>
  </si>
  <si>
    <t>E062020</t>
  </si>
  <si>
    <t>06</t>
  </si>
  <si>
    <t>보건</t>
    <phoneticPr fontId="4" type="noConversion"/>
  </si>
  <si>
    <t>06.1</t>
  </si>
  <si>
    <t>의료용품 및 장비</t>
    <phoneticPr fontId="4" type="noConversion"/>
  </si>
  <si>
    <t>F010000</t>
  </si>
  <si>
    <t>F011</t>
    <phoneticPr fontId="4" type="noConversion"/>
  </si>
  <si>
    <t>의약품</t>
    <phoneticPr fontId="4" type="noConversion"/>
  </si>
  <si>
    <t>F011000</t>
  </si>
  <si>
    <t>조제약</t>
  </si>
  <si>
    <t>F011090</t>
  </si>
  <si>
    <t>F01112</t>
  </si>
  <si>
    <t>F01111</t>
  </si>
  <si>
    <t>항생제(전문)</t>
  </si>
  <si>
    <t>고혈압제제(전문)</t>
  </si>
  <si>
    <t>F01113</t>
  </si>
  <si>
    <t>항진균제(전문)</t>
  </si>
  <si>
    <t>F01114</t>
  </si>
  <si>
    <t>순환계용약(전문)</t>
  </si>
  <si>
    <t>F01115</t>
  </si>
  <si>
    <t>백신(전문)</t>
  </si>
  <si>
    <t>F01116</t>
  </si>
  <si>
    <t>해열진통제(전문)</t>
  </si>
  <si>
    <t>F01117</t>
  </si>
  <si>
    <t>혈액제제(전문)</t>
  </si>
  <si>
    <t>F01118</t>
  </si>
  <si>
    <t>소화성계통질환제(전문)</t>
  </si>
  <si>
    <t>F01119</t>
  </si>
  <si>
    <t>당뇨병용제(전문)</t>
  </si>
  <si>
    <t>감기약</t>
  </si>
  <si>
    <t>F011010</t>
  </si>
  <si>
    <t>F01102</t>
  </si>
  <si>
    <t>감기약(일반)</t>
  </si>
  <si>
    <t>진통제</t>
  </si>
  <si>
    <t>F011020</t>
  </si>
  <si>
    <t>F01103</t>
  </si>
  <si>
    <t>진통제(일반)</t>
  </si>
  <si>
    <t>소화제</t>
  </si>
  <si>
    <t>F011030</t>
  </si>
  <si>
    <t>F01104</t>
  </si>
  <si>
    <t>소화제(일반)</t>
  </si>
  <si>
    <t>정장제</t>
  </si>
  <si>
    <t>F011040</t>
  </si>
  <si>
    <t>F01105</t>
  </si>
  <si>
    <t>정장제(일반)</t>
  </si>
  <si>
    <t>위장약</t>
  </si>
  <si>
    <t>F011050</t>
  </si>
  <si>
    <t>F01106</t>
  </si>
  <si>
    <t>제산제(일반)</t>
  </si>
  <si>
    <t>F01107</t>
  </si>
  <si>
    <t>소화성궤양약(일반)</t>
  </si>
  <si>
    <t>진해거담제</t>
  </si>
  <si>
    <t>F011060</t>
  </si>
  <si>
    <t>소염진통제</t>
  </si>
  <si>
    <t>F011070</t>
  </si>
  <si>
    <t>F01110</t>
  </si>
  <si>
    <t>소염진통제(일반)</t>
  </si>
  <si>
    <t>피부질환제</t>
  </si>
  <si>
    <t>F011080</t>
  </si>
  <si>
    <t>피부질환제(일반)</t>
  </si>
  <si>
    <t>한방약</t>
  </si>
  <si>
    <t>F011100</t>
  </si>
  <si>
    <t>F01120</t>
  </si>
  <si>
    <t>F011110</t>
  </si>
  <si>
    <t>우황청심원</t>
  </si>
  <si>
    <t>F01121</t>
  </si>
  <si>
    <t>인삼</t>
  </si>
  <si>
    <t>F011120</t>
  </si>
  <si>
    <t>F01122</t>
  </si>
  <si>
    <t>홍삼</t>
  </si>
  <si>
    <t>F011130</t>
  </si>
  <si>
    <t>A11103</t>
  </si>
  <si>
    <t>건강보조식품</t>
  </si>
  <si>
    <t>건강기능식품</t>
  </si>
  <si>
    <t>F011150</t>
  </si>
  <si>
    <t>F011140</t>
  </si>
  <si>
    <t>혼합비타민제</t>
  </si>
  <si>
    <t>F01101</t>
  </si>
  <si>
    <t>혼합비타민제(일반)</t>
  </si>
  <si>
    <t>F012</t>
    <phoneticPr fontId="4" type="noConversion"/>
  </si>
  <si>
    <t>의료용품 및 치료기기</t>
    <phoneticPr fontId="4" type="noConversion"/>
  </si>
  <si>
    <t>F012000</t>
  </si>
  <si>
    <t>종이기저귀</t>
  </si>
  <si>
    <t>F012010</t>
  </si>
  <si>
    <t>L01218</t>
  </si>
  <si>
    <t>J01116</t>
  </si>
  <si>
    <t>F012020</t>
  </si>
  <si>
    <t>위생대</t>
  </si>
  <si>
    <t>L01219</t>
  </si>
  <si>
    <t>J01117</t>
  </si>
  <si>
    <t>반창고</t>
  </si>
  <si>
    <t>안경</t>
  </si>
  <si>
    <t>F012030</t>
  </si>
  <si>
    <t>F01201</t>
  </si>
  <si>
    <t>F02101</t>
  </si>
  <si>
    <t>안경테</t>
  </si>
  <si>
    <t>F01202</t>
  </si>
  <si>
    <t>F02102</t>
  </si>
  <si>
    <t>안경렌즈</t>
  </si>
  <si>
    <t>콘택트렌즈</t>
  </si>
  <si>
    <t>F012040</t>
  </si>
  <si>
    <t>F01204</t>
  </si>
  <si>
    <t>F02104</t>
  </si>
  <si>
    <t>F012060</t>
  </si>
  <si>
    <t>혈압계</t>
  </si>
  <si>
    <t>F01203</t>
  </si>
  <si>
    <t>F02103</t>
  </si>
  <si>
    <t>F012070</t>
  </si>
  <si>
    <t>혈당계</t>
  </si>
  <si>
    <t>F01205</t>
  </si>
  <si>
    <t>F012050</t>
  </si>
  <si>
    <t>체온계</t>
  </si>
  <si>
    <t>건강기기렌탈비</t>
  </si>
  <si>
    <t>치료재료</t>
  </si>
  <si>
    <t>06.2</t>
  </si>
  <si>
    <t>외래환자 서비스</t>
    <phoneticPr fontId="4" type="noConversion"/>
  </si>
  <si>
    <t>F020000</t>
  </si>
  <si>
    <t>F021</t>
    <phoneticPr fontId="4" type="noConversion"/>
  </si>
  <si>
    <t>의료 서비스</t>
    <phoneticPr fontId="4" type="noConversion"/>
  </si>
  <si>
    <t>F021000</t>
  </si>
  <si>
    <t>외래진료비</t>
  </si>
  <si>
    <t>F021010</t>
  </si>
  <si>
    <t>F03101</t>
  </si>
  <si>
    <t>진찰료</t>
  </si>
  <si>
    <t>F03103</t>
  </si>
  <si>
    <t>투약료</t>
  </si>
  <si>
    <t>주사료</t>
  </si>
  <si>
    <t>F03104</t>
  </si>
  <si>
    <t>F03105</t>
  </si>
  <si>
    <t>마취료</t>
  </si>
  <si>
    <t>F03106</t>
  </si>
  <si>
    <t>물리치료료</t>
  </si>
  <si>
    <t>F03107</t>
  </si>
  <si>
    <t>정신요법료</t>
  </si>
  <si>
    <t>F03108</t>
  </si>
  <si>
    <t>처치및수술료</t>
  </si>
  <si>
    <t>F03109</t>
  </si>
  <si>
    <t>분만료</t>
  </si>
  <si>
    <t>F03110</t>
  </si>
  <si>
    <t>병원검사료</t>
  </si>
  <si>
    <t>F03111</t>
  </si>
  <si>
    <t>X-RAY촬영료</t>
  </si>
  <si>
    <t>F03112</t>
  </si>
  <si>
    <t>단층촬영료</t>
  </si>
  <si>
    <t>F03113</t>
  </si>
  <si>
    <t>특수촬영료</t>
  </si>
  <si>
    <t>F021020</t>
  </si>
  <si>
    <t>건강진단비</t>
  </si>
  <si>
    <t>F03115</t>
  </si>
  <si>
    <t>한방진찰료</t>
  </si>
  <si>
    <t>한방진료비</t>
  </si>
  <si>
    <t>F021040</t>
  </si>
  <si>
    <t>F03116</t>
  </si>
  <si>
    <t>한방침료</t>
  </si>
  <si>
    <t>F021030</t>
  </si>
  <si>
    <t>예방접종비</t>
  </si>
  <si>
    <t>F022</t>
    <phoneticPr fontId="4" type="noConversion"/>
  </si>
  <si>
    <t>기타 의료서비스</t>
    <phoneticPr fontId="4" type="noConversion"/>
  </si>
  <si>
    <t>F022000</t>
  </si>
  <si>
    <t>치과진료비</t>
  </si>
  <si>
    <t>F022010</t>
  </si>
  <si>
    <t>F03114</t>
  </si>
  <si>
    <t>치과처치료</t>
  </si>
  <si>
    <t>06.3</t>
  </si>
  <si>
    <t>병원 서비스</t>
    <phoneticPr fontId="4" type="noConversion"/>
  </si>
  <si>
    <t>F030000</t>
  </si>
  <si>
    <t>F031</t>
    <phoneticPr fontId="4" type="noConversion"/>
  </si>
  <si>
    <t>F031000</t>
  </si>
  <si>
    <t>입원진료비</t>
  </si>
  <si>
    <t>F031010</t>
  </si>
  <si>
    <t>F03102</t>
  </si>
  <si>
    <t>입원실료</t>
  </si>
  <si>
    <t>07</t>
  </si>
  <si>
    <t>교통</t>
    <phoneticPr fontId="4" type="noConversion"/>
  </si>
  <si>
    <t>07.1</t>
  </si>
  <si>
    <t>운송장비</t>
    <phoneticPr fontId="4" type="noConversion"/>
  </si>
  <si>
    <t>G010000</t>
  </si>
  <si>
    <t>G011</t>
    <phoneticPr fontId="4" type="noConversion"/>
  </si>
  <si>
    <t>G011000</t>
  </si>
  <si>
    <t>소형승용차</t>
  </si>
  <si>
    <t>G011010</t>
  </si>
  <si>
    <t>G01101</t>
  </si>
  <si>
    <t>I01202</t>
  </si>
  <si>
    <t>중형승용차</t>
  </si>
  <si>
    <t>G011020</t>
  </si>
  <si>
    <t>G01102</t>
  </si>
  <si>
    <t>I01203</t>
  </si>
  <si>
    <t>대형승용차</t>
  </si>
  <si>
    <t>G011030</t>
  </si>
  <si>
    <t>G01103</t>
  </si>
  <si>
    <t>I01204</t>
  </si>
  <si>
    <t>경승용차</t>
  </si>
  <si>
    <t>G011040</t>
  </si>
  <si>
    <t>G01104</t>
  </si>
  <si>
    <t>I01205</t>
  </si>
  <si>
    <t>다목적승용차</t>
  </si>
  <si>
    <t>G011050</t>
  </si>
  <si>
    <t>G01105</t>
  </si>
  <si>
    <t>I01206</t>
  </si>
  <si>
    <t>지프형승용차</t>
  </si>
  <si>
    <t>자전거</t>
  </si>
  <si>
    <t>G011070</t>
  </si>
  <si>
    <t>G01106</t>
  </si>
  <si>
    <t>I01201</t>
  </si>
  <si>
    <t>수입승용차</t>
  </si>
  <si>
    <t>G011060</t>
  </si>
  <si>
    <t>07.2</t>
  </si>
  <si>
    <t>개인운송장비 운영</t>
    <phoneticPr fontId="4" type="noConversion"/>
  </si>
  <si>
    <t>G020000</t>
  </si>
  <si>
    <t>G021</t>
    <phoneticPr fontId="4" type="noConversion"/>
  </si>
  <si>
    <t>개인운송장비 연료 및 윤활유</t>
    <phoneticPr fontId="4" type="noConversion"/>
  </si>
  <si>
    <t>G021000</t>
  </si>
  <si>
    <t>휘발유</t>
  </si>
  <si>
    <t>G021010</t>
  </si>
  <si>
    <t>G02101</t>
  </si>
  <si>
    <t>I01208</t>
  </si>
  <si>
    <t>경유</t>
  </si>
  <si>
    <t>G021020</t>
  </si>
  <si>
    <t>G02102</t>
  </si>
  <si>
    <t>I01209</t>
  </si>
  <si>
    <t>G021030</t>
  </si>
  <si>
    <t>LPG(자동차용)</t>
  </si>
  <si>
    <t>G02103</t>
  </si>
  <si>
    <t>I01210</t>
  </si>
  <si>
    <t>G022</t>
    <phoneticPr fontId="4" type="noConversion"/>
  </si>
  <si>
    <t>개인운송장비 소모품 및 유지·수리</t>
    <phoneticPr fontId="4" type="noConversion"/>
  </si>
  <si>
    <t>G022000</t>
  </si>
  <si>
    <t>자동차수리비</t>
  </si>
  <si>
    <t>G022030</t>
  </si>
  <si>
    <t>G02205</t>
  </si>
  <si>
    <t>자동차타이어</t>
  </si>
  <si>
    <t>G022020</t>
  </si>
  <si>
    <t>G02201</t>
  </si>
  <si>
    <t>I01207</t>
  </si>
  <si>
    <t>승용차용타이어</t>
  </si>
  <si>
    <t>엔진오일교체료</t>
  </si>
  <si>
    <t>G022040</t>
  </si>
  <si>
    <t>G02202</t>
  </si>
  <si>
    <t>I01211</t>
  </si>
  <si>
    <t>세차료</t>
  </si>
  <si>
    <t>G022050</t>
  </si>
  <si>
    <t>G02204</t>
  </si>
  <si>
    <t>I01218</t>
  </si>
  <si>
    <t>자동차세차료</t>
  </si>
  <si>
    <t>자동차용품</t>
  </si>
  <si>
    <t>G022010</t>
  </si>
  <si>
    <t>G023</t>
    <phoneticPr fontId="4" type="noConversion"/>
  </si>
  <si>
    <t>개인운송장비 관련 기타 서비스</t>
    <phoneticPr fontId="4" type="noConversion"/>
  </si>
  <si>
    <t>G023000</t>
  </si>
  <si>
    <t>자동차학원비</t>
  </si>
  <si>
    <t>G023010</t>
  </si>
  <si>
    <t>G02301</t>
  </si>
  <si>
    <t>H03102</t>
  </si>
  <si>
    <t>주차료</t>
  </si>
  <si>
    <t>G023020</t>
  </si>
  <si>
    <t>G02302</t>
  </si>
  <si>
    <t>I01213</t>
  </si>
  <si>
    <t>자동차주차료</t>
  </si>
  <si>
    <t>도로통행료</t>
  </si>
  <si>
    <t>G023030</t>
  </si>
  <si>
    <t>G02303</t>
  </si>
  <si>
    <t>I01216</t>
  </si>
  <si>
    <t>고속도로통행료</t>
  </si>
  <si>
    <t>승용차임차료</t>
  </si>
  <si>
    <t>G023040</t>
  </si>
  <si>
    <t>G02304</t>
  </si>
  <si>
    <t>I01217</t>
  </si>
  <si>
    <t>자동차검사료</t>
  </si>
  <si>
    <t>G023060</t>
  </si>
  <si>
    <t>G02203</t>
  </si>
  <si>
    <t>I01212</t>
  </si>
  <si>
    <t>대리운전이용료</t>
  </si>
  <si>
    <t>G023050</t>
  </si>
  <si>
    <t>G02305</t>
  </si>
  <si>
    <t>07.3</t>
  </si>
  <si>
    <t>운송 서비스</t>
    <phoneticPr fontId="4" type="noConversion"/>
  </si>
  <si>
    <t>G030000</t>
  </si>
  <si>
    <t>G031</t>
    <phoneticPr fontId="4" type="noConversion"/>
  </si>
  <si>
    <t>철도 여객운송</t>
    <phoneticPr fontId="4" type="noConversion"/>
  </si>
  <si>
    <t>G031000</t>
  </si>
  <si>
    <t>열차료</t>
  </si>
  <si>
    <t>G031010</t>
  </si>
  <si>
    <t>G03101</t>
  </si>
  <si>
    <t>I01107</t>
  </si>
  <si>
    <t>기차료</t>
  </si>
  <si>
    <t>G031020</t>
  </si>
  <si>
    <t>전철료</t>
  </si>
  <si>
    <t>G03102</t>
  </si>
  <si>
    <t>I01108</t>
  </si>
  <si>
    <t>G032</t>
    <phoneticPr fontId="4" type="noConversion"/>
  </si>
  <si>
    <t>도로 여객운송</t>
    <phoneticPr fontId="4" type="noConversion"/>
  </si>
  <si>
    <t>G032000</t>
  </si>
  <si>
    <t>시내버스료</t>
  </si>
  <si>
    <t>G032010</t>
  </si>
  <si>
    <t>G03201</t>
  </si>
  <si>
    <t>I01101</t>
  </si>
  <si>
    <t>시내버스료(일반)</t>
  </si>
  <si>
    <t>I01102</t>
  </si>
  <si>
    <t>시내버스료(학생)</t>
  </si>
  <si>
    <t>I01103</t>
  </si>
  <si>
    <t>시내버스료(좌석)</t>
  </si>
  <si>
    <t>시외버스료</t>
  </si>
  <si>
    <t>G032020</t>
  </si>
  <si>
    <t>G03202</t>
  </si>
  <si>
    <t>I01104</t>
  </si>
  <si>
    <t>고속버스료</t>
  </si>
  <si>
    <t>G032030</t>
  </si>
  <si>
    <t>G03203</t>
  </si>
  <si>
    <t>I01105</t>
  </si>
  <si>
    <t>택시료</t>
  </si>
  <si>
    <t>G032040</t>
  </si>
  <si>
    <t>G03204</t>
  </si>
  <si>
    <t>I01106</t>
  </si>
  <si>
    <t>G033</t>
    <phoneticPr fontId="4" type="noConversion"/>
  </si>
  <si>
    <t>항공 여객운송</t>
    <phoneticPr fontId="4" type="noConversion"/>
  </si>
  <si>
    <t>G033000</t>
  </si>
  <si>
    <t>국내항공료</t>
  </si>
  <si>
    <t>G033010</t>
  </si>
  <si>
    <t>G03301</t>
  </si>
  <si>
    <t>I01109</t>
  </si>
  <si>
    <t>국제항공료</t>
  </si>
  <si>
    <t>G033020</t>
  </si>
  <si>
    <t>G03303</t>
  </si>
  <si>
    <t>I01111</t>
  </si>
  <si>
    <t>G03302</t>
  </si>
  <si>
    <t>I01110</t>
  </si>
  <si>
    <t>공항이용료</t>
  </si>
  <si>
    <t>여객선료</t>
  </si>
  <si>
    <t>G033030</t>
  </si>
  <si>
    <t>G03304</t>
  </si>
  <si>
    <t>G034</t>
    <phoneticPr fontId="4" type="noConversion"/>
  </si>
  <si>
    <t>복합 여객운송</t>
    <phoneticPr fontId="4" type="noConversion"/>
  </si>
  <si>
    <t>G034000</t>
  </si>
  <si>
    <t>이삿짐운송료</t>
  </si>
  <si>
    <t>G034010</t>
  </si>
  <si>
    <t>G03401</t>
  </si>
  <si>
    <t>B03102</t>
  </si>
  <si>
    <t>택배이용료</t>
  </si>
  <si>
    <t>G034020</t>
  </si>
  <si>
    <t>G03402</t>
  </si>
  <si>
    <t>I01112</t>
  </si>
  <si>
    <t>택배수수료</t>
  </si>
  <si>
    <t>08</t>
  </si>
  <si>
    <t>통신</t>
    <phoneticPr fontId="4" type="noConversion"/>
  </si>
  <si>
    <t>08.1</t>
  </si>
  <si>
    <t>우편 서비스</t>
    <phoneticPr fontId="4" type="noConversion"/>
  </si>
  <si>
    <t>H010000</t>
  </si>
  <si>
    <t>H011</t>
    <phoneticPr fontId="4" type="noConversion"/>
  </si>
  <si>
    <t>우편  서비스</t>
    <phoneticPr fontId="4" type="noConversion"/>
  </si>
  <si>
    <t>H011000</t>
  </si>
  <si>
    <t>우편료</t>
  </si>
  <si>
    <t>H011010</t>
  </si>
  <si>
    <t>H01101</t>
  </si>
  <si>
    <t>I02111</t>
  </si>
  <si>
    <t>국내우편료</t>
  </si>
  <si>
    <t>I02112</t>
  </si>
  <si>
    <t>국제우편료</t>
  </si>
  <si>
    <t>08.2</t>
  </si>
  <si>
    <t>전화 및 팩스 장비</t>
    <phoneticPr fontId="4" type="noConversion"/>
  </si>
  <si>
    <t>H020000</t>
  </si>
  <si>
    <t>H021</t>
    <phoneticPr fontId="4" type="noConversion"/>
  </si>
  <si>
    <t>H021000</t>
  </si>
  <si>
    <t>H02101</t>
  </si>
  <si>
    <t>I02113</t>
  </si>
  <si>
    <t>유선전화기</t>
  </si>
  <si>
    <t>H021010</t>
  </si>
  <si>
    <t>이동전화기</t>
  </si>
  <si>
    <t>H02102</t>
  </si>
  <si>
    <t>I02114</t>
  </si>
  <si>
    <t>H021020</t>
  </si>
  <si>
    <t>스마트폰</t>
  </si>
  <si>
    <t>08.3</t>
  </si>
  <si>
    <t>전화 및 팩스 서비스</t>
    <phoneticPr fontId="4" type="noConversion"/>
  </si>
  <si>
    <t>H030000</t>
  </si>
  <si>
    <t>H031</t>
    <phoneticPr fontId="4" type="noConversion"/>
  </si>
  <si>
    <t>H031000</t>
  </si>
  <si>
    <t>H031010</t>
  </si>
  <si>
    <t>일반전화통화료</t>
  </si>
  <si>
    <t>H03101</t>
  </si>
  <si>
    <t>I02101</t>
  </si>
  <si>
    <t>기본전화료</t>
  </si>
  <si>
    <t>I02102</t>
  </si>
  <si>
    <t>시내전화료</t>
  </si>
  <si>
    <t>H03103</t>
  </si>
  <si>
    <t>I02103</t>
  </si>
  <si>
    <t>시외전화료</t>
  </si>
  <si>
    <t>H03105</t>
  </si>
  <si>
    <t>I02105</t>
  </si>
  <si>
    <t>국제전화료</t>
  </si>
  <si>
    <t>H03107</t>
  </si>
  <si>
    <t>I02107</t>
  </si>
  <si>
    <t>LM통화료</t>
  </si>
  <si>
    <t>H03108</t>
  </si>
  <si>
    <t>I02108</t>
  </si>
  <si>
    <t>정보이용료</t>
  </si>
  <si>
    <t>H03104</t>
  </si>
  <si>
    <t>I02104</t>
  </si>
  <si>
    <t>공중전화료</t>
  </si>
  <si>
    <t>H031040</t>
  </si>
  <si>
    <t>인터넷전화료</t>
  </si>
  <si>
    <t>H031020</t>
  </si>
  <si>
    <t>이동전화료</t>
  </si>
  <si>
    <t>H03106</t>
  </si>
  <si>
    <t>I02106</t>
  </si>
  <si>
    <t>H031030</t>
  </si>
  <si>
    <t>스마트폰이용료</t>
  </si>
  <si>
    <t>H03110</t>
  </si>
  <si>
    <t>I02110</t>
  </si>
  <si>
    <t>이동전화부가서비스료</t>
  </si>
  <si>
    <t>인터넷이용료</t>
  </si>
  <si>
    <t>H031050</t>
  </si>
  <si>
    <t>H03109</t>
  </si>
  <si>
    <t>I02109</t>
  </si>
  <si>
    <t>정보통신회선이용료</t>
  </si>
  <si>
    <t>09</t>
  </si>
  <si>
    <t>오락 및 문화</t>
    <phoneticPr fontId="4" type="noConversion"/>
  </si>
  <si>
    <t>09.1</t>
  </si>
  <si>
    <t>음향, 영상, 사진 및 정보처리 장비</t>
    <phoneticPr fontId="4" type="noConversion"/>
  </si>
  <si>
    <t>I010000</t>
  </si>
  <si>
    <t>I011</t>
    <phoneticPr fontId="4" type="noConversion"/>
  </si>
  <si>
    <t>영상·음향기기</t>
    <phoneticPr fontId="4" type="noConversion"/>
  </si>
  <si>
    <t>I011000</t>
  </si>
  <si>
    <t>TV</t>
  </si>
  <si>
    <t>I011010</t>
  </si>
  <si>
    <t>I011020</t>
  </si>
  <si>
    <t>오디오</t>
  </si>
  <si>
    <t>H02105</t>
  </si>
  <si>
    <t>카세트</t>
  </si>
  <si>
    <t>H02103</t>
  </si>
  <si>
    <t>VCR</t>
  </si>
  <si>
    <t>H02104</t>
  </si>
  <si>
    <t>캠코더</t>
  </si>
  <si>
    <t>사진기</t>
  </si>
  <si>
    <t>I011030</t>
  </si>
  <si>
    <t>H02113</t>
  </si>
  <si>
    <t>I012</t>
    <phoneticPr fontId="4" type="noConversion"/>
  </si>
  <si>
    <t>정보처리기기·소모품</t>
    <phoneticPr fontId="4" type="noConversion"/>
  </si>
  <si>
    <t>I012000</t>
  </si>
  <si>
    <t>I012010</t>
  </si>
  <si>
    <t>컴퓨터본체</t>
  </si>
  <si>
    <t>H02106</t>
  </si>
  <si>
    <t>I012020</t>
  </si>
  <si>
    <t>모니터</t>
  </si>
  <si>
    <t>H02107</t>
  </si>
  <si>
    <t>I012030</t>
  </si>
  <si>
    <t>노트북컴퓨터</t>
  </si>
  <si>
    <t>H02108</t>
  </si>
  <si>
    <t>프린터</t>
  </si>
  <si>
    <t>I012050</t>
  </si>
  <si>
    <t>H02109</t>
  </si>
  <si>
    <t>G02108</t>
  </si>
  <si>
    <t>전자계산기</t>
  </si>
  <si>
    <t>컴퓨터소모품</t>
  </si>
  <si>
    <t>I012060</t>
  </si>
  <si>
    <t>H02110</t>
  </si>
  <si>
    <t>I012070</t>
  </si>
  <si>
    <t>기록매체</t>
  </si>
  <si>
    <t>H02121</t>
  </si>
  <si>
    <t>비디오테이프</t>
  </si>
  <si>
    <t>H02123</t>
  </si>
  <si>
    <t>카세트테이프</t>
  </si>
  <si>
    <t>휴대용멀티미디어기기</t>
  </si>
  <si>
    <t>I012040</t>
  </si>
  <si>
    <t>컴퓨터수리비</t>
  </si>
  <si>
    <t>09.2</t>
  </si>
  <si>
    <t>기타 오락 및 문화용 주요 내구재</t>
    <phoneticPr fontId="4" type="noConversion"/>
  </si>
  <si>
    <t>I020000</t>
  </si>
  <si>
    <t>I021</t>
    <phoneticPr fontId="4" type="noConversion"/>
  </si>
  <si>
    <t>I021000</t>
  </si>
  <si>
    <t>피아노</t>
  </si>
  <si>
    <t>I021010</t>
  </si>
  <si>
    <t>H02111</t>
  </si>
  <si>
    <t>현악기</t>
  </si>
  <si>
    <t>I021020</t>
  </si>
  <si>
    <t>H02112</t>
  </si>
  <si>
    <t>H02114</t>
  </si>
  <si>
    <t>필름</t>
  </si>
  <si>
    <t>H03123</t>
  </si>
  <si>
    <t>피아노조율비</t>
  </si>
  <si>
    <t>09.3</t>
  </si>
  <si>
    <t>기타 오락용품, 조경용품 및 애완동물</t>
    <phoneticPr fontId="4" type="noConversion"/>
  </si>
  <si>
    <t>I030000</t>
  </si>
  <si>
    <t>I031</t>
    <phoneticPr fontId="4" type="noConversion"/>
  </si>
  <si>
    <t>I031000</t>
  </si>
  <si>
    <t>장난감</t>
  </si>
  <si>
    <t>I031010</t>
  </si>
  <si>
    <t>H02115</t>
  </si>
  <si>
    <t>I031020</t>
  </si>
  <si>
    <t>어린이승용물</t>
  </si>
  <si>
    <t>H02116</t>
  </si>
  <si>
    <t>I031030</t>
  </si>
  <si>
    <t>게임기</t>
  </si>
  <si>
    <t>I031040</t>
  </si>
  <si>
    <t>등산용품</t>
  </si>
  <si>
    <t>H02117</t>
  </si>
  <si>
    <t>I031050</t>
  </si>
  <si>
    <t>낚시용품</t>
  </si>
  <si>
    <t>H02118</t>
  </si>
  <si>
    <t>I031060</t>
  </si>
  <si>
    <t>운동용품</t>
  </si>
  <si>
    <t>I031070</t>
  </si>
  <si>
    <t>H02119</t>
  </si>
  <si>
    <t>생화</t>
  </si>
  <si>
    <t>I031080</t>
  </si>
  <si>
    <t>H02124</t>
  </si>
  <si>
    <t>I031100</t>
  </si>
  <si>
    <t>애완동물용사료</t>
  </si>
  <si>
    <t>H02125</t>
  </si>
  <si>
    <t>I031110</t>
  </si>
  <si>
    <t>애완동물병원비</t>
  </si>
  <si>
    <t>I03115</t>
  </si>
  <si>
    <t>I031120</t>
  </si>
  <si>
    <t>애완동물미용료</t>
  </si>
  <si>
    <t>원예용품</t>
  </si>
  <si>
    <t>I031090</t>
  </si>
  <si>
    <t>09.4</t>
  </si>
  <si>
    <t>오락 및 문화 서비스</t>
    <phoneticPr fontId="4" type="noConversion"/>
  </si>
  <si>
    <t>I040000</t>
  </si>
  <si>
    <t>I041</t>
    <phoneticPr fontId="4" type="noConversion"/>
  </si>
  <si>
    <t>오락 및 스포츠 서비스</t>
    <phoneticPr fontId="4" type="noConversion"/>
  </si>
  <si>
    <t>I041000</t>
  </si>
  <si>
    <t>수영장이용료</t>
  </si>
  <si>
    <t>I041010</t>
  </si>
  <si>
    <t>I03104</t>
  </si>
  <si>
    <t>H03112</t>
  </si>
  <si>
    <t>스키장이용료</t>
  </si>
  <si>
    <t>I041020</t>
  </si>
  <si>
    <t>I03105</t>
  </si>
  <si>
    <t>볼링장이용료</t>
  </si>
  <si>
    <t>I041030</t>
  </si>
  <si>
    <t>I03106</t>
  </si>
  <si>
    <t>H03113</t>
  </si>
  <si>
    <t>헬스클럽이용료</t>
  </si>
  <si>
    <t>I041040</t>
  </si>
  <si>
    <t>I03107</t>
  </si>
  <si>
    <t>H03114</t>
  </si>
  <si>
    <t>골프연습장이용료</t>
  </si>
  <si>
    <t>I041050</t>
  </si>
  <si>
    <t>I03108</t>
  </si>
  <si>
    <t>H03115</t>
  </si>
  <si>
    <t>골프장이용료</t>
  </si>
  <si>
    <t>I041060</t>
  </si>
  <si>
    <t>I03109</t>
  </si>
  <si>
    <t>H03116</t>
  </si>
  <si>
    <t>노래방이용료</t>
  </si>
  <si>
    <t>I041080</t>
  </si>
  <si>
    <t>I03111</t>
  </si>
  <si>
    <t>H03118</t>
  </si>
  <si>
    <t>PC방이용료</t>
  </si>
  <si>
    <t>I041090</t>
  </si>
  <si>
    <t>I03114</t>
  </si>
  <si>
    <t>H03124</t>
  </si>
  <si>
    <t>놀이시설이용료</t>
  </si>
  <si>
    <t>I041100</t>
  </si>
  <si>
    <t>I03112</t>
  </si>
  <si>
    <t>H03119</t>
  </si>
  <si>
    <t>당구장이용료</t>
  </si>
  <si>
    <t>I041070</t>
  </si>
  <si>
    <t>I03110</t>
  </si>
  <si>
    <t>H03117</t>
  </si>
  <si>
    <t>레포츠이용료</t>
  </si>
  <si>
    <t>I041110</t>
  </si>
  <si>
    <t>I03113</t>
  </si>
  <si>
    <t>운동경기관람료</t>
  </si>
  <si>
    <t>I041120</t>
  </si>
  <si>
    <t>I03103</t>
  </si>
  <si>
    <t>H03111</t>
  </si>
  <si>
    <t>I03209</t>
  </si>
  <si>
    <t>H03122</t>
  </si>
  <si>
    <t>비디오테이프대여료</t>
  </si>
  <si>
    <t>I042</t>
    <phoneticPr fontId="4" type="noConversion"/>
  </si>
  <si>
    <t>문화 서비스</t>
    <phoneticPr fontId="4" type="noConversion"/>
  </si>
  <si>
    <t>I042000</t>
  </si>
  <si>
    <t>영화관람료</t>
  </si>
  <si>
    <t>I042010</t>
  </si>
  <si>
    <t>I03201</t>
  </si>
  <si>
    <t>공연예술관람료</t>
  </si>
  <si>
    <t>I042020</t>
  </si>
  <si>
    <t>I03205</t>
  </si>
  <si>
    <t>I03204</t>
  </si>
  <si>
    <t>문화시설입장료</t>
  </si>
  <si>
    <t>전시관입장료</t>
  </si>
  <si>
    <t>I042030</t>
  </si>
  <si>
    <t>I03206</t>
  </si>
  <si>
    <t>독서실비</t>
  </si>
  <si>
    <t>I042040</t>
  </si>
  <si>
    <t>J02106</t>
  </si>
  <si>
    <t>G01207</t>
  </si>
  <si>
    <t>H02122</t>
  </si>
  <si>
    <t>CD음반</t>
  </si>
  <si>
    <t>온라인콘텐츠이용료</t>
  </si>
  <si>
    <t>I042060</t>
  </si>
  <si>
    <t>I03210</t>
  </si>
  <si>
    <t>I03211</t>
  </si>
  <si>
    <t>방송수신료</t>
  </si>
  <si>
    <t>I042070</t>
  </si>
  <si>
    <t>TV수신료</t>
  </si>
  <si>
    <t>I03202</t>
  </si>
  <si>
    <t>TV시청료</t>
  </si>
  <si>
    <t>I042080</t>
  </si>
  <si>
    <t>I03203</t>
  </si>
  <si>
    <t>유선방송비</t>
  </si>
  <si>
    <t>I042090</t>
  </si>
  <si>
    <t>사진촬영료</t>
  </si>
  <si>
    <t>I03207</t>
  </si>
  <si>
    <t>H03120</t>
  </si>
  <si>
    <t>I042100</t>
  </si>
  <si>
    <t>사진인화료</t>
  </si>
  <si>
    <t>H03121</t>
  </si>
  <si>
    <t>문화강습료</t>
  </si>
  <si>
    <t>I042050</t>
  </si>
  <si>
    <t>09.5</t>
  </si>
  <si>
    <t>신문, 서적 및 문방구</t>
    <phoneticPr fontId="4" type="noConversion"/>
  </si>
  <si>
    <t>I050000</t>
  </si>
  <si>
    <t>I051</t>
    <phoneticPr fontId="4" type="noConversion"/>
  </si>
  <si>
    <t>서적</t>
    <phoneticPr fontId="4" type="noConversion"/>
  </si>
  <si>
    <t>I051000</t>
  </si>
  <si>
    <t>I051020</t>
  </si>
  <si>
    <t>참고서(초등학교)</t>
  </si>
  <si>
    <t>I04106</t>
  </si>
  <si>
    <t>G01213</t>
  </si>
  <si>
    <t>참고서(초등)</t>
  </si>
  <si>
    <t>I051050</t>
  </si>
  <si>
    <t>교과서(고등학교)</t>
  </si>
  <si>
    <t>I04101</t>
  </si>
  <si>
    <t>G01208</t>
  </si>
  <si>
    <t>교과서(중고교)</t>
  </si>
  <si>
    <t>I051040</t>
  </si>
  <si>
    <t>참고서(고등학교)</t>
  </si>
  <si>
    <t>I04104</t>
  </si>
  <si>
    <t>G01211</t>
  </si>
  <si>
    <t>참고서(고교)</t>
  </si>
  <si>
    <t>I051030</t>
  </si>
  <si>
    <t>참고서(중학교)</t>
  </si>
  <si>
    <t>I04105</t>
  </si>
  <si>
    <t>G01212</t>
  </si>
  <si>
    <t>참고서(중학)</t>
  </si>
  <si>
    <t>대학교재</t>
  </si>
  <si>
    <t>I051060</t>
  </si>
  <si>
    <t>G01209</t>
  </si>
  <si>
    <t>교과서(대학)</t>
  </si>
  <si>
    <t>I051080</t>
  </si>
  <si>
    <t>사전</t>
  </si>
  <si>
    <t>I04103</t>
  </si>
  <si>
    <t>G01210</t>
  </si>
  <si>
    <t>서적</t>
  </si>
  <si>
    <t>I051070</t>
  </si>
  <si>
    <t>I04107</t>
  </si>
  <si>
    <t>H01107</t>
  </si>
  <si>
    <t>도서</t>
  </si>
  <si>
    <t>G01217</t>
  </si>
  <si>
    <t>학습용AV교재</t>
  </si>
  <si>
    <t>유아용학습교재</t>
  </si>
  <si>
    <t>I051010</t>
  </si>
  <si>
    <t>I052</t>
    <phoneticPr fontId="4" type="noConversion"/>
  </si>
  <si>
    <t>신문 및 정기간행물</t>
    <phoneticPr fontId="4" type="noConversion"/>
  </si>
  <si>
    <t>I052000</t>
  </si>
  <si>
    <t>신문</t>
  </si>
  <si>
    <t>I052010</t>
  </si>
  <si>
    <t>I04201</t>
  </si>
  <si>
    <t>신문구독료</t>
  </si>
  <si>
    <t>I052020</t>
  </si>
  <si>
    <t>잡지</t>
  </si>
  <si>
    <t>I04202</t>
  </si>
  <si>
    <t>H01102</t>
  </si>
  <si>
    <t>주간지</t>
  </si>
  <si>
    <t>H01103</t>
  </si>
  <si>
    <t>여성지</t>
  </si>
  <si>
    <t>H01104</t>
  </si>
  <si>
    <t>아동지</t>
  </si>
  <si>
    <t>H01105</t>
  </si>
  <si>
    <t>종합지</t>
  </si>
  <si>
    <t>H01106</t>
  </si>
  <si>
    <t>문예지</t>
  </si>
  <si>
    <t>I053</t>
    <phoneticPr fontId="4" type="noConversion"/>
  </si>
  <si>
    <t>문방구</t>
    <phoneticPr fontId="4" type="noConversion"/>
  </si>
  <si>
    <t>I053000</t>
  </si>
  <si>
    <t>필기구</t>
  </si>
  <si>
    <t>I053050</t>
  </si>
  <si>
    <t>I04301</t>
  </si>
  <si>
    <t>볼펜</t>
  </si>
  <si>
    <t>I04302</t>
  </si>
  <si>
    <t>연필</t>
  </si>
  <si>
    <t>회화용구</t>
  </si>
  <si>
    <t>I053060</t>
  </si>
  <si>
    <t>I04306</t>
  </si>
  <si>
    <t>G02106</t>
  </si>
  <si>
    <t>크레파스</t>
  </si>
  <si>
    <t>G02107</t>
  </si>
  <si>
    <t>그림물감</t>
  </si>
  <si>
    <t>공책</t>
  </si>
  <si>
    <t>I053010</t>
  </si>
  <si>
    <t>I04303</t>
  </si>
  <si>
    <t>스케치북</t>
  </si>
  <si>
    <t>I053020</t>
  </si>
  <si>
    <t>I04304</t>
  </si>
  <si>
    <t>G02104</t>
  </si>
  <si>
    <t>복사용지</t>
  </si>
  <si>
    <t>I053030</t>
  </si>
  <si>
    <t>I04305</t>
  </si>
  <si>
    <t>G02105</t>
  </si>
  <si>
    <t>I053040</t>
  </si>
  <si>
    <t>색메모지</t>
  </si>
  <si>
    <t>09.6</t>
    <phoneticPr fontId="13" type="noConversion"/>
  </si>
  <si>
    <t>단체여행</t>
    <phoneticPr fontId="4" type="noConversion"/>
  </si>
  <si>
    <t>I060000</t>
  </si>
  <si>
    <t>I061</t>
    <phoneticPr fontId="4" type="noConversion"/>
  </si>
  <si>
    <t>I061000</t>
  </si>
  <si>
    <t>I061010</t>
  </si>
  <si>
    <t>단체여행비(국내)</t>
  </si>
  <si>
    <t>I05101</t>
  </si>
  <si>
    <t>H03125</t>
  </si>
  <si>
    <t>I061020</t>
  </si>
  <si>
    <t>단체여행비(해외)</t>
  </si>
  <si>
    <t>I05102</t>
  </si>
  <si>
    <t>H03126</t>
  </si>
  <si>
    <t>10</t>
  </si>
  <si>
    <t>교육</t>
    <phoneticPr fontId="4" type="noConversion"/>
  </si>
  <si>
    <t>10.1</t>
  </si>
  <si>
    <t>유치원 및 초등교육</t>
    <phoneticPr fontId="4" type="noConversion"/>
  </si>
  <si>
    <t>J010000</t>
  </si>
  <si>
    <t>J011</t>
    <phoneticPr fontId="4" type="noConversion"/>
  </si>
  <si>
    <t>J011000</t>
  </si>
  <si>
    <t>J011010</t>
  </si>
  <si>
    <t>납입금(유치원)</t>
  </si>
  <si>
    <t>J01101</t>
  </si>
  <si>
    <t>10.2</t>
  </si>
  <si>
    <t>중등교육</t>
    <phoneticPr fontId="4" type="noConversion"/>
  </si>
  <si>
    <t>J020000</t>
  </si>
  <si>
    <t>J021</t>
    <phoneticPr fontId="4" type="noConversion"/>
  </si>
  <si>
    <t>J021000</t>
  </si>
  <si>
    <t>J021010</t>
  </si>
  <si>
    <t>납입금(고등학교)</t>
  </si>
  <si>
    <t>J02101</t>
  </si>
  <si>
    <t>납입금(중고교)</t>
  </si>
  <si>
    <t>10.3</t>
    <phoneticPr fontId="4" type="noConversion"/>
  </si>
  <si>
    <t>고등교육</t>
    <phoneticPr fontId="4" type="noConversion"/>
  </si>
  <si>
    <t>J030000</t>
  </si>
  <si>
    <t>J031</t>
    <phoneticPr fontId="4" type="noConversion"/>
  </si>
  <si>
    <t>J031000</t>
  </si>
  <si>
    <t>J031010</t>
  </si>
  <si>
    <t>납입금(전문대학)</t>
  </si>
  <si>
    <t>J03103</t>
  </si>
  <si>
    <t>납입금(전문대)</t>
  </si>
  <si>
    <t>J031040</t>
  </si>
  <si>
    <t>납입금(국공립대학원)</t>
  </si>
  <si>
    <t>납입금(국공립대)</t>
  </si>
  <si>
    <t>J031030</t>
  </si>
  <si>
    <t>납입금(사립대학교)</t>
  </si>
  <si>
    <t>납입금(사립대)</t>
  </si>
  <si>
    <t>J031020</t>
  </si>
  <si>
    <t>납입금(국공립대학교)</t>
  </si>
  <si>
    <t>J03104</t>
  </si>
  <si>
    <t>납입금(대학원)</t>
  </si>
  <si>
    <t>J031050</t>
  </si>
  <si>
    <t>납입금(사립대학원)</t>
  </si>
  <si>
    <t>J03105</t>
  </si>
  <si>
    <t>10.4</t>
    <phoneticPr fontId="4" type="noConversion"/>
  </si>
  <si>
    <t>기타 교육</t>
    <phoneticPr fontId="4" type="noConversion"/>
  </si>
  <si>
    <t>J040000</t>
  </si>
  <si>
    <t>J041</t>
    <phoneticPr fontId="4" type="noConversion"/>
  </si>
  <si>
    <t>학원 및 보습교육</t>
    <phoneticPr fontId="4" type="noConversion"/>
  </si>
  <si>
    <t>J041000</t>
  </si>
  <si>
    <t>J041030</t>
  </si>
  <si>
    <t>학원비(고등학생)</t>
  </si>
  <si>
    <t>J02102</t>
  </si>
  <si>
    <t>G01201</t>
  </si>
  <si>
    <t>입시학원비(단과)</t>
  </si>
  <si>
    <t>J02104</t>
  </si>
  <si>
    <t>G01202</t>
  </si>
  <si>
    <t>입시학원비(종합)</t>
  </si>
  <si>
    <t>J041020</t>
  </si>
  <si>
    <t>학원비(중학생)</t>
  </si>
  <si>
    <t>J02103</t>
  </si>
  <si>
    <t>J02105</t>
  </si>
  <si>
    <t>J041010</t>
  </si>
  <si>
    <t>학원비(초등학생)</t>
  </si>
  <si>
    <t>J01104</t>
  </si>
  <si>
    <t>G01205</t>
  </si>
  <si>
    <t>보습학원비</t>
  </si>
  <si>
    <t>이러닝이용료</t>
  </si>
  <si>
    <t>J041090</t>
  </si>
  <si>
    <t>음악학원비</t>
  </si>
  <si>
    <t>J041040</t>
  </si>
  <si>
    <t>J01102</t>
  </si>
  <si>
    <t>G01203</t>
  </si>
  <si>
    <t>피아노학원비</t>
  </si>
  <si>
    <t>미술학원비</t>
  </si>
  <si>
    <t>J041050</t>
  </si>
  <si>
    <t>J01103</t>
  </si>
  <si>
    <t>G01204</t>
  </si>
  <si>
    <t>운동학원비</t>
  </si>
  <si>
    <t>J041060</t>
  </si>
  <si>
    <t>I03102</t>
  </si>
  <si>
    <t>태권도학원비</t>
  </si>
  <si>
    <t>전산학원비</t>
  </si>
  <si>
    <t>J041070</t>
  </si>
  <si>
    <t>J04101</t>
  </si>
  <si>
    <t>G01206</t>
  </si>
  <si>
    <t>가정학습지</t>
  </si>
  <si>
    <t>J041080</t>
  </si>
  <si>
    <t>J01105</t>
  </si>
  <si>
    <t>G01214</t>
  </si>
  <si>
    <t>J041100</t>
  </si>
  <si>
    <t>학교보충학습비</t>
  </si>
  <si>
    <t>J01106</t>
  </si>
  <si>
    <t>G01218</t>
  </si>
  <si>
    <t>J042</t>
    <phoneticPr fontId="4" type="noConversion"/>
  </si>
  <si>
    <t>성인학원 및 기타교육</t>
    <phoneticPr fontId="4" type="noConversion"/>
  </si>
  <si>
    <t>J042000</t>
  </si>
  <si>
    <t>취업학원비</t>
  </si>
  <si>
    <t>J042010</t>
  </si>
  <si>
    <t>J04104</t>
  </si>
  <si>
    <t>외국어학원비</t>
  </si>
  <si>
    <t>J042020</t>
  </si>
  <si>
    <t>J04103</t>
  </si>
  <si>
    <t>운동강습료</t>
  </si>
  <si>
    <t>J042030</t>
  </si>
  <si>
    <t>I03101</t>
  </si>
  <si>
    <t>서예학원비</t>
  </si>
  <si>
    <t>11</t>
  </si>
  <si>
    <t>음식 및 숙박</t>
    <phoneticPr fontId="4" type="noConversion"/>
  </si>
  <si>
    <t>11.1</t>
  </si>
  <si>
    <t>음식 서비스</t>
    <phoneticPr fontId="4" type="noConversion"/>
  </si>
  <si>
    <t>K010000</t>
  </si>
  <si>
    <t>K011</t>
    <phoneticPr fontId="4" type="noConversion"/>
  </si>
  <si>
    <t>K011000</t>
  </si>
  <si>
    <t>설렁탕</t>
  </si>
  <si>
    <t>K011040</t>
  </si>
  <si>
    <t>K01101</t>
  </si>
  <si>
    <t>A12101</t>
  </si>
  <si>
    <t>냉면</t>
  </si>
  <si>
    <t>K011140</t>
  </si>
  <si>
    <t>K01102</t>
  </si>
  <si>
    <t>A12102</t>
  </si>
  <si>
    <t>비빔밥</t>
  </si>
  <si>
    <t>K011030</t>
  </si>
  <si>
    <t>K01103</t>
  </si>
  <si>
    <t>A12103</t>
  </si>
  <si>
    <t>갈비탕</t>
  </si>
  <si>
    <t>K011050</t>
  </si>
  <si>
    <t>K01104</t>
  </si>
  <si>
    <t>A12104</t>
  </si>
  <si>
    <t>삼계탕</t>
  </si>
  <si>
    <t>K011060</t>
  </si>
  <si>
    <t>K01105</t>
  </si>
  <si>
    <t>A12105</t>
  </si>
  <si>
    <t>김치찌개백반</t>
  </si>
  <si>
    <t>K011010</t>
  </si>
  <si>
    <t>K01106</t>
  </si>
  <si>
    <t>A12106</t>
  </si>
  <si>
    <t>된장찌개백반</t>
  </si>
  <si>
    <t>K011020</t>
  </si>
  <si>
    <t>K01107</t>
  </si>
  <si>
    <t>A12107</t>
  </si>
  <si>
    <t>불고기</t>
  </si>
  <si>
    <t>K011090</t>
  </si>
  <si>
    <t>K01108</t>
  </si>
  <si>
    <t>A12108</t>
  </si>
  <si>
    <t>쇠고기(외식)</t>
  </si>
  <si>
    <t>K011100</t>
  </si>
  <si>
    <t>K01109</t>
  </si>
  <si>
    <t>A12109</t>
  </si>
  <si>
    <t>등심구이</t>
  </si>
  <si>
    <t>돼지갈비(외식)</t>
  </si>
  <si>
    <t>K011110</t>
  </si>
  <si>
    <t>K01110</t>
  </si>
  <si>
    <t>A12110</t>
  </si>
  <si>
    <t>삼겹살(외식)</t>
  </si>
  <si>
    <t>K011120</t>
  </si>
  <si>
    <t>K01111</t>
  </si>
  <si>
    <t>A12111</t>
  </si>
  <si>
    <t>K01112</t>
  </si>
  <si>
    <t>A12112</t>
  </si>
  <si>
    <t>쇠갈비(외식)</t>
  </si>
  <si>
    <t>자장면</t>
  </si>
  <si>
    <t>K011190</t>
  </si>
  <si>
    <t>K01113</t>
  </si>
  <si>
    <t>A12113</t>
  </si>
  <si>
    <t>짬뽕</t>
  </si>
  <si>
    <t>K011200</t>
  </si>
  <si>
    <t>K01114</t>
  </si>
  <si>
    <t>A12114</t>
  </si>
  <si>
    <t>탕수육</t>
  </si>
  <si>
    <t>K011210</t>
  </si>
  <si>
    <t>K01115</t>
  </si>
  <si>
    <t>A12115</t>
  </si>
  <si>
    <t>볶음밥</t>
  </si>
  <si>
    <t>K011220</t>
  </si>
  <si>
    <t>K01116</t>
  </si>
  <si>
    <t>A12116</t>
  </si>
  <si>
    <t>돈가스</t>
  </si>
  <si>
    <t>K011230</t>
  </si>
  <si>
    <t>K01117</t>
  </si>
  <si>
    <t>A12118</t>
  </si>
  <si>
    <t>스테이크</t>
  </si>
  <si>
    <t>K011240</t>
  </si>
  <si>
    <t>K01118</t>
  </si>
  <si>
    <t>A12120</t>
  </si>
  <si>
    <t>함박스텍</t>
  </si>
  <si>
    <t>A12119</t>
  </si>
  <si>
    <t>비후가스</t>
  </si>
  <si>
    <t>생선초밥</t>
  </si>
  <si>
    <t>K011170</t>
  </si>
  <si>
    <t>K01119</t>
  </si>
  <si>
    <t>A12122</t>
  </si>
  <si>
    <t>치킨</t>
  </si>
  <si>
    <t>K011290</t>
  </si>
  <si>
    <t>K01120</t>
  </si>
  <si>
    <t>A12126</t>
  </si>
  <si>
    <t>튀김닭</t>
  </si>
  <si>
    <t>햄버거</t>
  </si>
  <si>
    <t>K011300</t>
  </si>
  <si>
    <t>K01121</t>
  </si>
  <si>
    <t>A12127</t>
  </si>
  <si>
    <t>피자</t>
  </si>
  <si>
    <t>K011310</t>
  </si>
  <si>
    <t>K01122</t>
  </si>
  <si>
    <t>A12128</t>
  </si>
  <si>
    <t>스파게티</t>
  </si>
  <si>
    <t>K011250</t>
  </si>
  <si>
    <t>K01123</t>
  </si>
  <si>
    <t>죽(외식)</t>
  </si>
  <si>
    <t>K011160</t>
  </si>
  <si>
    <t>K01124</t>
  </si>
  <si>
    <t>칼국수</t>
  </si>
  <si>
    <t>K011150</t>
  </si>
  <si>
    <t>K01125</t>
  </si>
  <si>
    <t>A12129</t>
  </si>
  <si>
    <t>라면(외식)</t>
  </si>
  <si>
    <t>K011260</t>
  </si>
  <si>
    <t>K01126</t>
  </si>
  <si>
    <t>A12130</t>
  </si>
  <si>
    <t>김밥</t>
  </si>
  <si>
    <t>K011270</t>
  </si>
  <si>
    <t>K01127</t>
  </si>
  <si>
    <t>A12131</t>
  </si>
  <si>
    <t>K01128</t>
  </si>
  <si>
    <t>K01129</t>
  </si>
  <si>
    <t>K01130</t>
  </si>
  <si>
    <t>A09103</t>
  </si>
  <si>
    <t>자판기커피</t>
  </si>
  <si>
    <t>커피(외식)</t>
  </si>
  <si>
    <t>K011320</t>
  </si>
  <si>
    <t>K01131</t>
  </si>
  <si>
    <t>A12132</t>
  </si>
  <si>
    <t>국산차(외식)</t>
  </si>
  <si>
    <t>K011330</t>
  </si>
  <si>
    <t>K01132</t>
  </si>
  <si>
    <t>A12133</t>
  </si>
  <si>
    <t>맥주(외식)</t>
  </si>
  <si>
    <t>K011350</t>
  </si>
  <si>
    <t>K01133</t>
  </si>
  <si>
    <t>A12134</t>
  </si>
  <si>
    <t>생맥주</t>
  </si>
  <si>
    <t>K01134</t>
  </si>
  <si>
    <t>A12135</t>
  </si>
  <si>
    <t>소주(외식)</t>
  </si>
  <si>
    <t>K011340</t>
  </si>
  <si>
    <t>K01135</t>
  </si>
  <si>
    <t>A12136</t>
  </si>
  <si>
    <t>K01136</t>
  </si>
  <si>
    <t>K01137</t>
  </si>
  <si>
    <t>A12123</t>
  </si>
  <si>
    <t>회덮밥</t>
  </si>
  <si>
    <t>A12124</t>
  </si>
  <si>
    <t>도시락</t>
  </si>
  <si>
    <t>학교급식비</t>
  </si>
  <si>
    <t>K011370</t>
  </si>
  <si>
    <t>K01138</t>
  </si>
  <si>
    <t>A12121</t>
  </si>
  <si>
    <t>구내식당식사비</t>
  </si>
  <si>
    <t>K011380</t>
  </si>
  <si>
    <t>K01139</t>
  </si>
  <si>
    <t>A12125</t>
  </si>
  <si>
    <t>해물찜</t>
  </si>
  <si>
    <t>K011070</t>
  </si>
  <si>
    <t>해장국</t>
  </si>
  <si>
    <t>K011080</t>
  </si>
  <si>
    <t>오리고기(외식)</t>
  </si>
  <si>
    <t>K011130</t>
  </si>
  <si>
    <t>생선회(외식)</t>
  </si>
  <si>
    <t>K011180</t>
  </si>
  <si>
    <t>떡볶이</t>
  </si>
  <si>
    <t>K011280</t>
  </si>
  <si>
    <t>막걸리(외식)</t>
  </si>
  <si>
    <t>K011360</t>
  </si>
  <si>
    <t>11.2</t>
  </si>
  <si>
    <t>숙박 서비스</t>
    <phoneticPr fontId="4" type="noConversion"/>
  </si>
  <si>
    <t>K020000</t>
  </si>
  <si>
    <t>K021</t>
    <phoneticPr fontId="4" type="noConversion"/>
  </si>
  <si>
    <t>K021000</t>
  </si>
  <si>
    <t>K021010</t>
  </si>
  <si>
    <t>숙박료(호텔)</t>
  </si>
  <si>
    <t>K02101</t>
  </si>
  <si>
    <t>K021020</t>
  </si>
  <si>
    <t>숙박료(여관)</t>
  </si>
  <si>
    <t>K02102</t>
  </si>
  <si>
    <t>J04102</t>
  </si>
  <si>
    <t>콘도이용료</t>
  </si>
  <si>
    <t>K021030</t>
  </si>
  <si>
    <t>K02103</t>
  </si>
  <si>
    <t>콘도미니엄이용료</t>
  </si>
  <si>
    <t>학교기숙사비</t>
  </si>
  <si>
    <t>K021040</t>
  </si>
  <si>
    <t>K02104</t>
  </si>
  <si>
    <t>G01216</t>
  </si>
  <si>
    <t>12</t>
    <phoneticPr fontId="4" type="noConversion"/>
  </si>
  <si>
    <t>기타 상품 및 서비스</t>
    <phoneticPr fontId="4" type="noConversion"/>
  </si>
  <si>
    <t>12.1</t>
  </si>
  <si>
    <t>미용용품 및 미용 서비스</t>
    <phoneticPr fontId="4" type="noConversion"/>
  </si>
  <si>
    <t>L010000</t>
  </si>
  <si>
    <t>L011</t>
    <phoneticPr fontId="4" type="noConversion"/>
  </si>
  <si>
    <t>이미용 및 미용시설</t>
    <phoneticPr fontId="4" type="noConversion"/>
  </si>
  <si>
    <t>L011000</t>
  </si>
  <si>
    <t>목욕료</t>
  </si>
  <si>
    <t>L011010</t>
  </si>
  <si>
    <t>L01103</t>
  </si>
  <si>
    <t>J01205</t>
  </si>
  <si>
    <t>찜질방이용료</t>
  </si>
  <si>
    <t>L011020</t>
  </si>
  <si>
    <t>L01104</t>
  </si>
  <si>
    <t>이용료</t>
  </si>
  <si>
    <t>L011030</t>
  </si>
  <si>
    <t>L01101</t>
  </si>
  <si>
    <t>J01201</t>
  </si>
  <si>
    <t>미용료</t>
  </si>
  <si>
    <t>L011040</t>
  </si>
  <si>
    <t>L01102</t>
  </si>
  <si>
    <t>J01202</t>
  </si>
  <si>
    <t>미용료(드라이)</t>
  </si>
  <si>
    <t>J01203</t>
  </si>
  <si>
    <t>미용료(파마)</t>
  </si>
  <si>
    <t>J01204</t>
  </si>
  <si>
    <t>미용료(컷트)</t>
  </si>
  <si>
    <t>뷰티미용료</t>
  </si>
  <si>
    <t>L011050</t>
  </si>
  <si>
    <t>L012</t>
    <phoneticPr fontId="4" type="noConversion"/>
  </si>
  <si>
    <t>개인용 전기용품 및 미용용품</t>
    <phoneticPr fontId="4" type="noConversion"/>
  </si>
  <si>
    <t>L012000</t>
  </si>
  <si>
    <t>면도기</t>
  </si>
  <si>
    <t>L012010</t>
  </si>
  <si>
    <t>L01201</t>
  </si>
  <si>
    <t>J01114</t>
  </si>
  <si>
    <t>전기면도기</t>
  </si>
  <si>
    <t>L01217</t>
  </si>
  <si>
    <t>J01113</t>
  </si>
  <si>
    <t>면도날</t>
  </si>
  <si>
    <t>헤어드라이어</t>
  </si>
  <si>
    <t>L012020</t>
  </si>
  <si>
    <t>L01202</t>
  </si>
  <si>
    <t>J01115</t>
  </si>
  <si>
    <t>칫솔</t>
  </si>
  <si>
    <t>L012030</t>
  </si>
  <si>
    <t>L01205</t>
  </si>
  <si>
    <t>치약</t>
  </si>
  <si>
    <t>L012040</t>
  </si>
  <si>
    <t>L01206</t>
  </si>
  <si>
    <t>L012050</t>
  </si>
  <si>
    <t>화장비누</t>
  </si>
  <si>
    <t>L01204</t>
  </si>
  <si>
    <t>샴푸</t>
  </si>
  <si>
    <t>L012060</t>
  </si>
  <si>
    <t>L01213</t>
  </si>
  <si>
    <t>J01110</t>
  </si>
  <si>
    <t>바디워시</t>
  </si>
  <si>
    <t>L012070</t>
  </si>
  <si>
    <t>화장지</t>
  </si>
  <si>
    <t>L012080</t>
  </si>
  <si>
    <t>L01203</t>
  </si>
  <si>
    <t>D04111</t>
  </si>
  <si>
    <t>화장지(두루마리)</t>
  </si>
  <si>
    <t>D04112</t>
  </si>
  <si>
    <t>화장지(상자)</t>
  </si>
  <si>
    <t>L012090</t>
  </si>
  <si>
    <t>화장수</t>
  </si>
  <si>
    <t>L01209</t>
  </si>
  <si>
    <t>L012100</t>
  </si>
  <si>
    <t>로션</t>
  </si>
  <si>
    <t>L01210</t>
  </si>
  <si>
    <t>J01107</t>
  </si>
  <si>
    <t>L012120</t>
  </si>
  <si>
    <t>영양크림</t>
  </si>
  <si>
    <t>L01207</t>
  </si>
  <si>
    <t>L012130</t>
  </si>
  <si>
    <t>클린징크림</t>
  </si>
  <si>
    <t>L01214</t>
  </si>
  <si>
    <t>J01111</t>
  </si>
  <si>
    <t>L012150</t>
  </si>
  <si>
    <t>페이스파우더</t>
  </si>
  <si>
    <t>L01215</t>
  </si>
  <si>
    <t>J01112</t>
  </si>
  <si>
    <t>L012140</t>
  </si>
  <si>
    <t>파운데이션</t>
  </si>
  <si>
    <t>L01208</t>
  </si>
  <si>
    <t>L012160</t>
  </si>
  <si>
    <t>립스틱</t>
  </si>
  <si>
    <t>L01211</t>
  </si>
  <si>
    <t>J01108</t>
  </si>
  <si>
    <t>L012110</t>
  </si>
  <si>
    <t>썬크림</t>
  </si>
  <si>
    <t>L01216</t>
  </si>
  <si>
    <t>L012170</t>
  </si>
  <si>
    <t>L01212</t>
  </si>
  <si>
    <t>J01109</t>
  </si>
  <si>
    <t>염모제</t>
  </si>
  <si>
    <t>구강세정제</t>
  </si>
  <si>
    <t>L012180</t>
  </si>
  <si>
    <t>12.3</t>
  </si>
  <si>
    <t>기타 개인용품</t>
    <phoneticPr fontId="4" type="noConversion"/>
  </si>
  <si>
    <t>L020000</t>
  </si>
  <si>
    <t>L021</t>
    <phoneticPr fontId="4" type="noConversion"/>
  </si>
  <si>
    <t>L021000</t>
  </si>
  <si>
    <t>손목시계</t>
  </si>
  <si>
    <t>L021010</t>
  </si>
  <si>
    <t>L02101</t>
  </si>
  <si>
    <t>L02102</t>
  </si>
  <si>
    <t>금반지</t>
  </si>
  <si>
    <t>가방</t>
  </si>
  <si>
    <t>L021030</t>
  </si>
  <si>
    <t>L02103</t>
  </si>
  <si>
    <t>학생용가방</t>
  </si>
  <si>
    <t>여행용가방</t>
  </si>
  <si>
    <t>핸드백</t>
  </si>
  <si>
    <t>L021040</t>
  </si>
  <si>
    <t>L02104</t>
  </si>
  <si>
    <t>탁상시계</t>
  </si>
  <si>
    <t>우산</t>
  </si>
  <si>
    <t>L021050</t>
  </si>
  <si>
    <t>L02105</t>
  </si>
  <si>
    <t>장신구</t>
  </si>
  <si>
    <t>L021020</t>
  </si>
  <si>
    <t>유모차</t>
  </si>
  <si>
    <t>L021060</t>
  </si>
  <si>
    <t>지갑</t>
  </si>
  <si>
    <t>12.4~7</t>
    <phoneticPr fontId="4" type="noConversion"/>
  </si>
  <si>
    <t>기타 서비스</t>
    <phoneticPr fontId="4" type="noConversion"/>
  </si>
  <si>
    <t>L030000</t>
  </si>
  <si>
    <t>L031</t>
    <phoneticPr fontId="4" type="noConversion"/>
  </si>
  <si>
    <t>L031000</t>
  </si>
  <si>
    <t>보육시설이용료</t>
  </si>
  <si>
    <t>L031020</t>
  </si>
  <si>
    <t>E05202</t>
  </si>
  <si>
    <t>D06104</t>
  </si>
  <si>
    <t>산후조리원이용료</t>
  </si>
  <si>
    <t>L031010</t>
  </si>
  <si>
    <t>D06106</t>
  </si>
  <si>
    <t>L031050</t>
  </si>
  <si>
    <t>자동차의무보험료</t>
  </si>
  <si>
    <t>L03101</t>
  </si>
  <si>
    <t>I01214</t>
  </si>
  <si>
    <t>자동차책임보험료</t>
  </si>
  <si>
    <t>L031060</t>
  </si>
  <si>
    <t>자동차임의보험료</t>
  </si>
  <si>
    <t>L03102</t>
  </si>
  <si>
    <t>I01215</t>
  </si>
  <si>
    <t>자동차종합보험료</t>
  </si>
  <si>
    <t>금융수수료</t>
  </si>
  <si>
    <t>L031070</t>
  </si>
  <si>
    <t>L03103</t>
  </si>
  <si>
    <t>J05103</t>
  </si>
  <si>
    <t>J05102</t>
  </si>
  <si>
    <t>카드수수료</t>
  </si>
  <si>
    <t>행정수수료</t>
  </si>
  <si>
    <t>L031090</t>
  </si>
  <si>
    <t>L03104</t>
  </si>
  <si>
    <t>J05101</t>
  </si>
  <si>
    <t>대입전형료</t>
  </si>
  <si>
    <t>L031100</t>
  </si>
  <si>
    <t>J03106</t>
  </si>
  <si>
    <t>G01215</t>
  </si>
  <si>
    <t>시험응시료</t>
  </si>
  <si>
    <t>L031110</t>
  </si>
  <si>
    <t>G01219</t>
  </si>
  <si>
    <t>자격증응시료</t>
  </si>
  <si>
    <t>L031120</t>
  </si>
  <si>
    <t>장례식장이용료</t>
  </si>
  <si>
    <t>L031130</t>
  </si>
  <si>
    <t>화장장이용료</t>
  </si>
  <si>
    <t>요양시설이용료</t>
  </si>
  <si>
    <t>L031030</t>
  </si>
  <si>
    <t>부동산중개수수료</t>
  </si>
  <si>
    <t>L031080</t>
  </si>
  <si>
    <t>대
(12)</t>
    <phoneticPr fontId="4" type="noConversion"/>
  </si>
  <si>
    <t>중분류(40)</t>
    <phoneticPr fontId="4" type="noConversion"/>
  </si>
  <si>
    <t>소분류(72)</t>
    <phoneticPr fontId="4" type="noConversion"/>
  </si>
  <si>
    <t>분류명</t>
    <phoneticPr fontId="4" type="noConversion"/>
  </si>
  <si>
    <t>2015년 기준(460개 품목)</t>
    <phoneticPr fontId="4" type="noConversion"/>
  </si>
  <si>
    <t>2012년기준(481개 품목)</t>
    <phoneticPr fontId="4" type="noConversion"/>
  </si>
  <si>
    <t>2010년기준(481개 품목)</t>
    <phoneticPr fontId="4" type="noConversion"/>
  </si>
  <si>
    <t>2005년기준(489개 품목)</t>
    <phoneticPr fontId="4" type="noConversion"/>
  </si>
  <si>
    <t>2000년기준(516개 품목)</t>
    <phoneticPr fontId="4" type="noConversion"/>
  </si>
  <si>
    <t>현미</t>
    <phoneticPr fontId="4" type="noConversion"/>
  </si>
  <si>
    <t>찹쌀</t>
    <phoneticPr fontId="13" type="noConversion"/>
  </si>
  <si>
    <t>보리쌀</t>
    <phoneticPr fontId="13" type="noConversion"/>
  </si>
  <si>
    <t>콩</t>
    <phoneticPr fontId="13" type="noConversion"/>
  </si>
  <si>
    <t>땅콩</t>
    <phoneticPr fontId="13" type="noConversion"/>
  </si>
  <si>
    <t>밀가루</t>
    <phoneticPr fontId="13" type="noConversion"/>
  </si>
  <si>
    <t>국수</t>
    <phoneticPr fontId="13" type="noConversion"/>
  </si>
  <si>
    <t>라면</t>
    <phoneticPr fontId="13" type="noConversion"/>
  </si>
  <si>
    <t>당면</t>
    <phoneticPr fontId="13" type="noConversion"/>
  </si>
  <si>
    <t>두부</t>
    <phoneticPr fontId="13" type="noConversion"/>
  </si>
  <si>
    <t>시리얼</t>
    <phoneticPr fontId="4" type="noConversion"/>
  </si>
  <si>
    <t>씨리얼식품</t>
    <phoneticPr fontId="13" type="noConversion"/>
  </si>
  <si>
    <t>부침가루</t>
    <phoneticPr fontId="13" type="noConversion"/>
  </si>
  <si>
    <t>케이크</t>
    <phoneticPr fontId="13" type="noConversion"/>
  </si>
  <si>
    <t>식빵</t>
    <phoneticPr fontId="13" type="noConversion"/>
  </si>
  <si>
    <t>빵</t>
    <phoneticPr fontId="13" type="noConversion"/>
  </si>
  <si>
    <t>A011170</t>
    <phoneticPr fontId="13" type="noConversion"/>
  </si>
  <si>
    <t>떡</t>
    <phoneticPr fontId="13" type="noConversion"/>
  </si>
  <si>
    <t>파스타면</t>
    <phoneticPr fontId="4" type="noConversion"/>
  </si>
  <si>
    <t>국산쇠고기</t>
    <phoneticPr fontId="4" type="noConversion"/>
  </si>
  <si>
    <t>쇠고기(국산)</t>
    <phoneticPr fontId="13" type="noConversion"/>
  </si>
  <si>
    <t>수입쇠고기</t>
    <phoneticPr fontId="4" type="noConversion"/>
  </si>
  <si>
    <t>쇠고기(수입)</t>
    <phoneticPr fontId="13" type="noConversion"/>
  </si>
  <si>
    <t>돼지고기</t>
    <phoneticPr fontId="13" type="noConversion"/>
  </si>
  <si>
    <t>닭고기</t>
    <phoneticPr fontId="13" type="noConversion"/>
  </si>
  <si>
    <t>소시지</t>
    <phoneticPr fontId="13" type="noConversion"/>
  </si>
  <si>
    <t>햄및베이컨</t>
    <phoneticPr fontId="4" type="noConversion"/>
  </si>
  <si>
    <t>햄</t>
    <phoneticPr fontId="13" type="noConversion"/>
  </si>
  <si>
    <t>육류통조림</t>
    <phoneticPr fontId="13" type="noConversion"/>
  </si>
  <si>
    <t>갈치</t>
    <phoneticPr fontId="4" type="noConversion"/>
  </si>
  <si>
    <t>명태</t>
    <phoneticPr fontId="4" type="noConversion"/>
  </si>
  <si>
    <t>조기</t>
    <phoneticPr fontId="4" type="noConversion"/>
  </si>
  <si>
    <t>고등어</t>
    <phoneticPr fontId="4" type="noConversion"/>
  </si>
  <si>
    <t>꽁치</t>
    <phoneticPr fontId="4" type="noConversion"/>
  </si>
  <si>
    <t>오징어</t>
    <phoneticPr fontId="13" type="noConversion"/>
  </si>
  <si>
    <t>가자미</t>
    <phoneticPr fontId="4" type="noConversion"/>
  </si>
  <si>
    <t>굴</t>
    <phoneticPr fontId="13" type="noConversion"/>
  </si>
  <si>
    <t>조개</t>
    <phoneticPr fontId="13" type="noConversion"/>
  </si>
  <si>
    <t>생선회</t>
    <phoneticPr fontId="13" type="noConversion"/>
  </si>
  <si>
    <t>북어</t>
    <phoneticPr fontId="13" type="noConversion"/>
  </si>
  <si>
    <t>마른멸치</t>
    <phoneticPr fontId="13" type="noConversion"/>
  </si>
  <si>
    <t>마른오징어</t>
    <phoneticPr fontId="13" type="noConversion"/>
  </si>
  <si>
    <t>어묵</t>
    <phoneticPr fontId="13" type="noConversion"/>
  </si>
  <si>
    <t>맛살</t>
    <phoneticPr fontId="13" type="noConversion"/>
  </si>
  <si>
    <t>생선통조림</t>
    <phoneticPr fontId="13" type="noConversion"/>
  </si>
  <si>
    <t>젓갈</t>
    <phoneticPr fontId="13" type="noConversion"/>
  </si>
  <si>
    <t>오징어채</t>
    <phoneticPr fontId="13" type="noConversion"/>
  </si>
  <si>
    <t>북어채</t>
    <phoneticPr fontId="13" type="noConversion"/>
  </si>
  <si>
    <t>우유</t>
    <phoneticPr fontId="13" type="noConversion"/>
  </si>
  <si>
    <t>분유</t>
    <phoneticPr fontId="13" type="noConversion"/>
  </si>
  <si>
    <t>치즈</t>
    <phoneticPr fontId="13" type="noConversion"/>
  </si>
  <si>
    <t>발효유</t>
    <phoneticPr fontId="13" type="noConversion"/>
  </si>
  <si>
    <t>달걀</t>
    <phoneticPr fontId="13" type="noConversion"/>
  </si>
  <si>
    <t>참기름</t>
    <phoneticPr fontId="13" type="noConversion"/>
  </si>
  <si>
    <t>식용유</t>
    <phoneticPr fontId="13" type="noConversion"/>
  </si>
  <si>
    <t>사과</t>
    <phoneticPr fontId="13" type="noConversion"/>
  </si>
  <si>
    <t>배</t>
    <phoneticPr fontId="13" type="noConversion"/>
  </si>
  <si>
    <t>복숭아</t>
    <phoneticPr fontId="13" type="noConversion"/>
  </si>
  <si>
    <t>포도</t>
    <phoneticPr fontId="13" type="noConversion"/>
  </si>
  <si>
    <t>밤</t>
    <phoneticPr fontId="13" type="noConversion"/>
  </si>
  <si>
    <t>감</t>
    <phoneticPr fontId="13" type="noConversion"/>
  </si>
  <si>
    <t>귤</t>
    <phoneticPr fontId="13" type="noConversion"/>
  </si>
  <si>
    <t>오렌지</t>
    <phoneticPr fontId="13" type="noConversion"/>
  </si>
  <si>
    <t>참외</t>
    <phoneticPr fontId="13" type="noConversion"/>
  </si>
  <si>
    <t>수박</t>
    <phoneticPr fontId="13" type="noConversion"/>
  </si>
  <si>
    <t>딸기</t>
    <phoneticPr fontId="13" type="noConversion"/>
  </si>
  <si>
    <t>바나나</t>
    <phoneticPr fontId="13" type="noConversion"/>
  </si>
  <si>
    <t>키위</t>
    <phoneticPr fontId="13" type="noConversion"/>
  </si>
  <si>
    <t>과일가공품</t>
    <phoneticPr fontId="4" type="noConversion"/>
  </si>
  <si>
    <t>과실통조림</t>
    <phoneticPr fontId="13" type="noConversion"/>
  </si>
  <si>
    <t>블루베리</t>
    <phoneticPr fontId="4" type="noConversion"/>
  </si>
  <si>
    <t>배추</t>
    <phoneticPr fontId="13" type="noConversion"/>
  </si>
  <si>
    <t>상추</t>
    <phoneticPr fontId="13" type="noConversion"/>
  </si>
  <si>
    <t>양상추</t>
    <phoneticPr fontId="13" type="noConversion"/>
  </si>
  <si>
    <t>시금치</t>
    <phoneticPr fontId="13" type="noConversion"/>
  </si>
  <si>
    <t>양배추</t>
    <phoneticPr fontId="13" type="noConversion"/>
  </si>
  <si>
    <t>미나리</t>
    <phoneticPr fontId="13" type="noConversion"/>
  </si>
  <si>
    <t>깻잎</t>
    <phoneticPr fontId="13" type="noConversion"/>
  </si>
  <si>
    <t>부추</t>
    <phoneticPr fontId="13" type="noConversion"/>
  </si>
  <si>
    <t>무</t>
    <phoneticPr fontId="13" type="noConversion"/>
  </si>
  <si>
    <t>열무</t>
    <phoneticPr fontId="13" type="noConversion"/>
  </si>
  <si>
    <t>당근</t>
    <phoneticPr fontId="13" type="noConversion"/>
  </si>
  <si>
    <t>감자</t>
    <phoneticPr fontId="13" type="noConversion"/>
  </si>
  <si>
    <t>고구마</t>
    <phoneticPr fontId="13" type="noConversion"/>
  </si>
  <si>
    <t>도라지</t>
    <phoneticPr fontId="13" type="noConversion"/>
  </si>
  <si>
    <t>콩나물</t>
    <phoneticPr fontId="13" type="noConversion"/>
  </si>
  <si>
    <t>버섯</t>
    <phoneticPr fontId="13" type="noConversion"/>
  </si>
  <si>
    <t>오이</t>
    <phoneticPr fontId="13" type="noConversion"/>
  </si>
  <si>
    <t>풋고추</t>
    <phoneticPr fontId="13" type="noConversion"/>
  </si>
  <si>
    <t>호박</t>
    <phoneticPr fontId="13" type="noConversion"/>
  </si>
  <si>
    <t>가지</t>
    <phoneticPr fontId="13" type="noConversion"/>
  </si>
  <si>
    <t>토마토</t>
    <phoneticPr fontId="13" type="noConversion"/>
  </si>
  <si>
    <t>파</t>
    <phoneticPr fontId="13" type="noConversion"/>
  </si>
  <si>
    <t>양파</t>
    <phoneticPr fontId="13" type="noConversion"/>
  </si>
  <si>
    <t>마늘</t>
    <phoneticPr fontId="13" type="noConversion"/>
  </si>
  <si>
    <t>브로콜리</t>
    <phoneticPr fontId="13" type="noConversion"/>
  </si>
  <si>
    <t>고사리</t>
    <phoneticPr fontId="13" type="noConversion"/>
  </si>
  <si>
    <t>피망</t>
    <phoneticPr fontId="13" type="noConversion"/>
  </si>
  <si>
    <t>파프리카</t>
    <phoneticPr fontId="4" type="noConversion"/>
  </si>
  <si>
    <t>단무지</t>
    <phoneticPr fontId="4" type="noConversion"/>
  </si>
  <si>
    <t>단무지</t>
    <phoneticPr fontId="13" type="noConversion"/>
  </si>
  <si>
    <t>김</t>
    <phoneticPr fontId="13" type="noConversion"/>
  </si>
  <si>
    <t>맛김</t>
    <phoneticPr fontId="13" type="noConversion"/>
  </si>
  <si>
    <t>미역</t>
    <phoneticPr fontId="13" type="noConversion"/>
  </si>
  <si>
    <t>설탕</t>
    <phoneticPr fontId="13" type="noConversion"/>
  </si>
  <si>
    <t>꿀</t>
    <phoneticPr fontId="13" type="noConversion"/>
  </si>
  <si>
    <t>물엿</t>
    <phoneticPr fontId="13" type="noConversion"/>
  </si>
  <si>
    <t>초콜릿</t>
    <phoneticPr fontId="13" type="noConversion"/>
  </si>
  <si>
    <t>사탕</t>
    <phoneticPr fontId="13" type="noConversion"/>
  </si>
  <si>
    <t>껌</t>
    <phoneticPr fontId="13" type="noConversion"/>
  </si>
  <si>
    <t>아이스크림</t>
    <phoneticPr fontId="13" type="noConversion"/>
  </si>
  <si>
    <t>빙과</t>
    <phoneticPr fontId="13" type="noConversion"/>
  </si>
  <si>
    <t>비스킷</t>
    <phoneticPr fontId="13" type="noConversion"/>
  </si>
  <si>
    <t>스낵과자</t>
    <phoneticPr fontId="13" type="noConversion"/>
  </si>
  <si>
    <t>파이</t>
    <phoneticPr fontId="4" type="noConversion"/>
  </si>
  <si>
    <t>쵸코파이</t>
    <phoneticPr fontId="13" type="noConversion"/>
  </si>
  <si>
    <t>고춧가루</t>
    <phoneticPr fontId="4" type="noConversion"/>
  </si>
  <si>
    <t>고춧가루</t>
    <phoneticPr fontId="13" type="noConversion"/>
  </si>
  <si>
    <t>참깨</t>
    <phoneticPr fontId="13" type="noConversion"/>
  </si>
  <si>
    <t>생강</t>
    <phoneticPr fontId="13" type="noConversion"/>
  </si>
  <si>
    <t>소금</t>
    <phoneticPr fontId="13" type="noConversion"/>
  </si>
  <si>
    <t>간장</t>
    <phoneticPr fontId="13" type="noConversion"/>
  </si>
  <si>
    <t>된장</t>
    <phoneticPr fontId="13" type="noConversion"/>
  </si>
  <si>
    <t>고추장</t>
    <phoneticPr fontId="13" type="noConversion"/>
  </si>
  <si>
    <t>카레</t>
    <phoneticPr fontId="13" type="noConversion"/>
  </si>
  <si>
    <t>케찹</t>
    <phoneticPr fontId="13" type="noConversion"/>
  </si>
  <si>
    <t>마요네즈</t>
    <phoneticPr fontId="13" type="noConversion"/>
  </si>
  <si>
    <t>혼합조미료</t>
    <phoneticPr fontId="13" type="noConversion"/>
  </si>
  <si>
    <t>양념소스</t>
    <phoneticPr fontId="4" type="noConversion"/>
  </si>
  <si>
    <t>양념장</t>
    <phoneticPr fontId="13" type="noConversion"/>
  </si>
  <si>
    <t>이유식</t>
    <phoneticPr fontId="13" type="noConversion"/>
  </si>
  <si>
    <t>김치</t>
    <phoneticPr fontId="13" type="noConversion"/>
  </si>
  <si>
    <t>냉동식품</t>
    <phoneticPr fontId="13" type="noConversion"/>
  </si>
  <si>
    <t>즉석식품</t>
    <phoneticPr fontId="13" type="noConversion"/>
  </si>
  <si>
    <t>식초</t>
    <phoneticPr fontId="4" type="noConversion"/>
  </si>
  <si>
    <t xml:space="preserve"> </t>
    <phoneticPr fontId="4" type="noConversion"/>
  </si>
  <si>
    <t xml:space="preserve"> </t>
    <phoneticPr fontId="13" type="noConversion"/>
  </si>
  <si>
    <t>커피</t>
    <phoneticPr fontId="13" type="noConversion"/>
  </si>
  <si>
    <t>커피크림</t>
    <phoneticPr fontId="13" type="noConversion"/>
  </si>
  <si>
    <t>녹차</t>
    <phoneticPr fontId="13" type="noConversion"/>
  </si>
  <si>
    <t>보리차</t>
    <phoneticPr fontId="13" type="noConversion"/>
  </si>
  <si>
    <t>주스</t>
    <phoneticPr fontId="4" type="noConversion"/>
  </si>
  <si>
    <t>과일주스</t>
    <phoneticPr fontId="13" type="noConversion"/>
  </si>
  <si>
    <t>생수</t>
    <phoneticPr fontId="13" type="noConversion"/>
  </si>
  <si>
    <t>혼합음료</t>
    <phoneticPr fontId="13" type="noConversion"/>
  </si>
  <si>
    <t>콜라</t>
    <phoneticPr fontId="13" type="noConversion"/>
  </si>
  <si>
    <t>사이다</t>
    <phoneticPr fontId="13" type="noConversion"/>
  </si>
  <si>
    <t>두유</t>
    <phoneticPr fontId="13" type="noConversion"/>
  </si>
  <si>
    <t>피로회복제</t>
    <phoneticPr fontId="13" type="noConversion"/>
  </si>
  <si>
    <t>소주</t>
    <phoneticPr fontId="13" type="noConversion"/>
  </si>
  <si>
    <t>양주</t>
    <phoneticPr fontId="4" type="noConversion"/>
  </si>
  <si>
    <t>위스키</t>
    <phoneticPr fontId="13" type="noConversion"/>
  </si>
  <si>
    <t>과실주</t>
    <phoneticPr fontId="13" type="noConversion"/>
  </si>
  <si>
    <t>맥주</t>
    <phoneticPr fontId="13" type="noConversion"/>
  </si>
  <si>
    <t>탁주</t>
    <phoneticPr fontId="13" type="noConversion"/>
  </si>
  <si>
    <t>청주</t>
    <phoneticPr fontId="13" type="noConversion"/>
  </si>
  <si>
    <t>약주</t>
    <phoneticPr fontId="13" type="noConversion"/>
  </si>
  <si>
    <t>담배</t>
    <phoneticPr fontId="4" type="noConversion"/>
  </si>
  <si>
    <t>담배(국산)</t>
    <phoneticPr fontId="13" type="noConversion"/>
  </si>
  <si>
    <t>담배(수입)</t>
    <phoneticPr fontId="13" type="noConversion"/>
  </si>
  <si>
    <t>남자외의</t>
    <phoneticPr fontId="4" type="noConversion"/>
  </si>
  <si>
    <t>남자정장</t>
    <phoneticPr fontId="13" type="noConversion"/>
  </si>
  <si>
    <t>남자코트</t>
    <phoneticPr fontId="13" type="noConversion"/>
  </si>
  <si>
    <t>남자자켓</t>
    <phoneticPr fontId="13" type="noConversion"/>
  </si>
  <si>
    <t>남자바지</t>
    <phoneticPr fontId="13" type="noConversion"/>
  </si>
  <si>
    <t>남자학생복</t>
    <phoneticPr fontId="13" type="noConversion"/>
  </si>
  <si>
    <t>드레스셔츠</t>
    <phoneticPr fontId="13" type="noConversion"/>
  </si>
  <si>
    <t>남방셔츠</t>
    <phoneticPr fontId="13" type="noConversion"/>
  </si>
  <si>
    <t>남자내의</t>
    <phoneticPr fontId="13" type="noConversion"/>
  </si>
  <si>
    <t>남자팬티</t>
    <phoneticPr fontId="13" type="noConversion"/>
  </si>
  <si>
    <t>런닝셔츠</t>
    <phoneticPr fontId="13" type="noConversion"/>
  </si>
  <si>
    <t>여자외의</t>
    <phoneticPr fontId="4" type="noConversion"/>
  </si>
  <si>
    <t>여자정장</t>
    <phoneticPr fontId="13" type="noConversion"/>
  </si>
  <si>
    <t>여자코트</t>
    <phoneticPr fontId="13" type="noConversion"/>
  </si>
  <si>
    <t>여자자켓</t>
    <phoneticPr fontId="13" type="noConversion"/>
  </si>
  <si>
    <t>한복</t>
    <phoneticPr fontId="4" type="noConversion"/>
  </si>
  <si>
    <t>원피스</t>
    <phoneticPr fontId="13" type="noConversion"/>
  </si>
  <si>
    <t>여자바지</t>
    <phoneticPr fontId="13" type="noConversion"/>
  </si>
  <si>
    <t>스커트</t>
    <phoneticPr fontId="13" type="noConversion"/>
  </si>
  <si>
    <t>여자학생복</t>
    <phoneticPr fontId="13" type="noConversion"/>
  </si>
  <si>
    <t>블라우스</t>
    <phoneticPr fontId="13" type="noConversion"/>
  </si>
  <si>
    <t>여자내의</t>
    <phoneticPr fontId="13" type="noConversion"/>
  </si>
  <si>
    <t>여자팬티</t>
    <phoneticPr fontId="13" type="noConversion"/>
  </si>
  <si>
    <t>브래지어</t>
    <phoneticPr fontId="13" type="noConversion"/>
  </si>
  <si>
    <t>점퍼</t>
    <phoneticPr fontId="13" type="noConversion"/>
  </si>
  <si>
    <t>청바지</t>
    <phoneticPr fontId="13" type="noConversion"/>
  </si>
  <si>
    <t>티셔츠</t>
    <phoneticPr fontId="13" type="noConversion"/>
  </si>
  <si>
    <t>남자스웨타</t>
    <phoneticPr fontId="13" type="noConversion"/>
  </si>
  <si>
    <t>여자스웨타</t>
    <phoneticPr fontId="13" type="noConversion"/>
  </si>
  <si>
    <t>운동복</t>
    <phoneticPr fontId="13" type="noConversion"/>
  </si>
  <si>
    <t>아동복</t>
    <phoneticPr fontId="13" type="noConversion"/>
  </si>
  <si>
    <t>유아복</t>
    <phoneticPr fontId="13" type="noConversion"/>
  </si>
  <si>
    <t>양말</t>
    <phoneticPr fontId="13" type="noConversion"/>
  </si>
  <si>
    <t>스타킹</t>
    <phoneticPr fontId="13" type="noConversion"/>
  </si>
  <si>
    <t>모자</t>
    <phoneticPr fontId="13" type="noConversion"/>
  </si>
  <si>
    <t>넥타이</t>
    <phoneticPr fontId="13" type="noConversion"/>
  </si>
  <si>
    <t>장갑</t>
    <phoneticPr fontId="13" type="noConversion"/>
  </si>
  <si>
    <t>의복수선료</t>
    <phoneticPr fontId="13" type="noConversion"/>
  </si>
  <si>
    <t>세탁료</t>
    <phoneticPr fontId="13" type="noConversion"/>
  </si>
  <si>
    <t>아동화</t>
    <phoneticPr fontId="13" type="noConversion"/>
  </si>
  <si>
    <t>구두</t>
    <phoneticPr fontId="4" type="noConversion"/>
  </si>
  <si>
    <t>남자구두</t>
    <phoneticPr fontId="13" type="noConversion"/>
  </si>
  <si>
    <t>여자구두</t>
    <phoneticPr fontId="13" type="noConversion"/>
  </si>
  <si>
    <t>운동화</t>
    <phoneticPr fontId="13" type="noConversion"/>
  </si>
  <si>
    <t>실내화</t>
    <phoneticPr fontId="13" type="noConversion"/>
  </si>
  <si>
    <t>전세</t>
    <phoneticPr fontId="13" type="noConversion"/>
  </si>
  <si>
    <t>월세</t>
    <phoneticPr fontId="13" type="noConversion"/>
  </si>
  <si>
    <t>주택수선재료</t>
    <phoneticPr fontId="4" type="noConversion"/>
  </si>
  <si>
    <t>벽지</t>
    <phoneticPr fontId="13" type="noConversion"/>
  </si>
  <si>
    <t>바닥재</t>
    <phoneticPr fontId="13" type="noConversion"/>
  </si>
  <si>
    <t>페인트</t>
    <phoneticPr fontId="13" type="noConversion"/>
  </si>
  <si>
    <t>창틀</t>
    <phoneticPr fontId="13" type="noConversion"/>
  </si>
  <si>
    <t>설비수리비</t>
    <phoneticPr fontId="13" type="noConversion"/>
  </si>
  <si>
    <t>보일러수리비</t>
    <phoneticPr fontId="13" type="noConversion"/>
  </si>
  <si>
    <t>도시가스연결비</t>
    <phoneticPr fontId="13" type="noConversion"/>
  </si>
  <si>
    <t>상수도료</t>
    <phoneticPr fontId="13" type="noConversion"/>
  </si>
  <si>
    <t>하수도료</t>
    <phoneticPr fontId="13" type="noConversion"/>
  </si>
  <si>
    <t>쓰레기봉투료</t>
    <phoneticPr fontId="13" type="noConversion"/>
  </si>
  <si>
    <t>정화조청소료</t>
    <phoneticPr fontId="13" type="noConversion"/>
  </si>
  <si>
    <t>공동주택관리비</t>
    <phoneticPr fontId="13" type="noConversion"/>
  </si>
  <si>
    <t>전기료</t>
    <phoneticPr fontId="4" type="noConversion"/>
  </si>
  <si>
    <t>도시가스</t>
    <phoneticPr fontId="13" type="noConversion"/>
  </si>
  <si>
    <t>취사용LPG</t>
    <phoneticPr fontId="4" type="noConversion"/>
  </si>
  <si>
    <t>LPG(취사용)</t>
    <phoneticPr fontId="13" type="noConversion"/>
  </si>
  <si>
    <t>등유</t>
    <phoneticPr fontId="13" type="noConversion"/>
  </si>
  <si>
    <t>연탄</t>
    <phoneticPr fontId="13" type="noConversion"/>
  </si>
  <si>
    <t>부탄가스</t>
    <phoneticPr fontId="13" type="noConversion"/>
  </si>
  <si>
    <t>지역난방비</t>
    <phoneticPr fontId="13" type="noConversion"/>
  </si>
  <si>
    <t>장롱</t>
    <phoneticPr fontId="13" type="noConversion"/>
  </si>
  <si>
    <t>침대</t>
    <phoneticPr fontId="13" type="noConversion"/>
  </si>
  <si>
    <t>거실장</t>
    <phoneticPr fontId="13" type="noConversion"/>
  </si>
  <si>
    <t>소파</t>
    <phoneticPr fontId="13" type="noConversion"/>
  </si>
  <si>
    <t>책상</t>
    <phoneticPr fontId="13" type="noConversion"/>
  </si>
  <si>
    <t>의자</t>
    <phoneticPr fontId="13" type="noConversion"/>
  </si>
  <si>
    <t>식탁</t>
    <phoneticPr fontId="13" type="noConversion"/>
  </si>
  <si>
    <t>싱크대</t>
    <phoneticPr fontId="13" type="noConversion"/>
  </si>
  <si>
    <t>이불</t>
    <phoneticPr fontId="13" type="noConversion"/>
  </si>
  <si>
    <t>침대커버</t>
    <phoneticPr fontId="13" type="noConversion"/>
  </si>
  <si>
    <t>커튼</t>
    <phoneticPr fontId="13" type="noConversion"/>
  </si>
  <si>
    <t>전기밥솥</t>
    <phoneticPr fontId="13" type="noConversion"/>
  </si>
  <si>
    <t>전자레인지</t>
    <phoneticPr fontId="13" type="noConversion"/>
  </si>
  <si>
    <t>가스레인지</t>
    <phoneticPr fontId="4" type="noConversion"/>
  </si>
  <si>
    <t>가스레인지</t>
    <phoneticPr fontId="13" type="noConversion"/>
  </si>
  <si>
    <t>전기레인지</t>
    <phoneticPr fontId="4" type="noConversion"/>
  </si>
  <si>
    <t>냉장고</t>
    <phoneticPr fontId="13" type="noConversion"/>
  </si>
  <si>
    <t>김치냉장고</t>
    <phoneticPr fontId="13" type="noConversion"/>
  </si>
  <si>
    <t>정수기</t>
    <phoneticPr fontId="13" type="noConversion"/>
  </si>
  <si>
    <t>에어컨</t>
    <phoneticPr fontId="13" type="noConversion"/>
  </si>
  <si>
    <t>선풍기</t>
    <phoneticPr fontId="13" type="noConversion"/>
  </si>
  <si>
    <t>난로</t>
    <phoneticPr fontId="13" type="noConversion"/>
  </si>
  <si>
    <t>공기청정기</t>
    <phoneticPr fontId="13" type="noConversion"/>
  </si>
  <si>
    <t>세탁기</t>
    <phoneticPr fontId="13" type="noConversion"/>
  </si>
  <si>
    <t>청소기</t>
    <phoneticPr fontId="13" type="noConversion"/>
  </si>
  <si>
    <t>믹서</t>
    <phoneticPr fontId="13" type="noConversion"/>
  </si>
  <si>
    <t>보온매트</t>
    <phoneticPr fontId="4" type="noConversion"/>
  </si>
  <si>
    <t>가전제품수리비</t>
    <phoneticPr fontId="13" type="noConversion"/>
  </si>
  <si>
    <t>주발</t>
    <phoneticPr fontId="13" type="noConversion"/>
  </si>
  <si>
    <t>접시</t>
    <phoneticPr fontId="13" type="noConversion"/>
  </si>
  <si>
    <t>컵</t>
    <phoneticPr fontId="13" type="noConversion"/>
  </si>
  <si>
    <t>커피잔</t>
    <phoneticPr fontId="13" type="noConversion"/>
  </si>
  <si>
    <t>솥</t>
    <phoneticPr fontId="13" type="noConversion"/>
  </si>
  <si>
    <t>프라이팬</t>
    <phoneticPr fontId="4" type="noConversion"/>
  </si>
  <si>
    <t>후라이팬</t>
    <phoneticPr fontId="13" type="noConversion"/>
  </si>
  <si>
    <t>냄비</t>
    <phoneticPr fontId="13" type="noConversion"/>
  </si>
  <si>
    <t>수저</t>
    <phoneticPr fontId="13" type="noConversion"/>
  </si>
  <si>
    <t>밀폐용기</t>
    <phoneticPr fontId="13" type="noConversion"/>
  </si>
  <si>
    <t>부엌용용구</t>
    <phoneticPr fontId="13" type="noConversion"/>
  </si>
  <si>
    <t>보일러</t>
    <phoneticPr fontId="13" type="noConversion"/>
  </si>
  <si>
    <t>건전지</t>
    <phoneticPr fontId="13" type="noConversion"/>
  </si>
  <si>
    <t>세탁비누</t>
    <phoneticPr fontId="13" type="noConversion"/>
  </si>
  <si>
    <t>가루비누</t>
    <phoneticPr fontId="13" type="noConversion"/>
  </si>
  <si>
    <t>섬유유연제</t>
    <phoneticPr fontId="13" type="noConversion"/>
  </si>
  <si>
    <t>섬유연화제</t>
    <phoneticPr fontId="13" type="noConversion"/>
  </si>
  <si>
    <t>전구</t>
    <phoneticPr fontId="13" type="noConversion"/>
  </si>
  <si>
    <t>부엌용세제</t>
    <phoneticPr fontId="13" type="noConversion"/>
  </si>
  <si>
    <t>청소용세제</t>
    <phoneticPr fontId="13" type="noConversion"/>
  </si>
  <si>
    <t>살충제</t>
    <phoneticPr fontId="13" type="noConversion"/>
  </si>
  <si>
    <t>랩</t>
    <phoneticPr fontId="13" type="noConversion"/>
  </si>
  <si>
    <t>키친타월</t>
    <phoneticPr fontId="13" type="noConversion"/>
  </si>
  <si>
    <t>방향제</t>
    <phoneticPr fontId="13" type="noConversion"/>
  </si>
  <si>
    <t>습기제거제</t>
    <phoneticPr fontId="13" type="noConversion"/>
  </si>
  <si>
    <t>가사도우미료</t>
    <phoneticPr fontId="13" type="noConversion"/>
  </si>
  <si>
    <t>F03102</t>
    <phoneticPr fontId="4" type="noConversion"/>
  </si>
  <si>
    <t>간병도우미료</t>
    <phoneticPr fontId="4" type="noConversion"/>
  </si>
  <si>
    <t>조제약</t>
    <phoneticPr fontId="13" type="noConversion"/>
  </si>
  <si>
    <t>감기약</t>
    <phoneticPr fontId="13" type="noConversion"/>
  </si>
  <si>
    <t>진통제</t>
    <phoneticPr fontId="13" type="noConversion"/>
  </si>
  <si>
    <t>소화제</t>
    <phoneticPr fontId="13" type="noConversion"/>
  </si>
  <si>
    <t>정장제</t>
    <phoneticPr fontId="13" type="noConversion"/>
  </si>
  <si>
    <t>제산제</t>
    <phoneticPr fontId="13" type="noConversion"/>
  </si>
  <si>
    <t>소화성궤양약</t>
    <phoneticPr fontId="13" type="noConversion"/>
  </si>
  <si>
    <t>진해거담제</t>
    <phoneticPr fontId="13" type="noConversion"/>
  </si>
  <si>
    <t>소염진통제</t>
    <phoneticPr fontId="13" type="noConversion"/>
  </si>
  <si>
    <t>피부질환제</t>
    <phoneticPr fontId="13" type="noConversion"/>
  </si>
  <si>
    <t>한방약</t>
    <phoneticPr fontId="13" type="noConversion"/>
  </si>
  <si>
    <t>우황청심원</t>
    <phoneticPr fontId="13" type="noConversion"/>
  </si>
  <si>
    <t>인삼</t>
    <phoneticPr fontId="13" type="noConversion"/>
  </si>
  <si>
    <t>건강기능식품</t>
    <phoneticPr fontId="13" type="noConversion"/>
  </si>
  <si>
    <t>비타민제</t>
    <phoneticPr fontId="4" type="noConversion"/>
  </si>
  <si>
    <t>혼합비타민제</t>
    <phoneticPr fontId="13" type="noConversion"/>
  </si>
  <si>
    <t>치과구강용약</t>
    <phoneticPr fontId="4" type="noConversion"/>
  </si>
  <si>
    <t>종이기저귀</t>
    <phoneticPr fontId="13" type="noConversion"/>
  </si>
  <si>
    <t>생리대</t>
    <phoneticPr fontId="4" type="noConversion"/>
  </si>
  <si>
    <t>위생대</t>
    <phoneticPr fontId="13" type="noConversion"/>
  </si>
  <si>
    <t>안경테</t>
    <phoneticPr fontId="13" type="noConversion"/>
  </si>
  <si>
    <t>안경렌즈</t>
    <phoneticPr fontId="13" type="noConversion"/>
  </si>
  <si>
    <t>콘택트렌즈</t>
    <phoneticPr fontId="13" type="noConversion"/>
  </si>
  <si>
    <t>의료측정기</t>
    <phoneticPr fontId="4" type="noConversion"/>
  </si>
  <si>
    <t>혈압계</t>
    <phoneticPr fontId="13" type="noConversion"/>
  </si>
  <si>
    <t>혈당계</t>
    <phoneticPr fontId="13" type="noConversion"/>
  </si>
  <si>
    <t>보청기</t>
    <phoneticPr fontId="13" type="noConversion"/>
  </si>
  <si>
    <t>외래진료비</t>
    <phoneticPr fontId="13" type="noConversion"/>
  </si>
  <si>
    <t>건강검진비</t>
    <phoneticPr fontId="4" type="noConversion"/>
  </si>
  <si>
    <t>건강진단비</t>
    <phoneticPr fontId="13" type="noConversion"/>
  </si>
  <si>
    <t>한방진료비</t>
    <phoneticPr fontId="13" type="noConversion"/>
  </si>
  <si>
    <t>약국조제료</t>
    <phoneticPr fontId="13" type="noConversion"/>
  </si>
  <si>
    <t>치과진료비</t>
    <phoneticPr fontId="13" type="noConversion"/>
  </si>
  <si>
    <t>치과보철료</t>
    <phoneticPr fontId="13" type="noConversion"/>
  </si>
  <si>
    <t>입원진료비</t>
    <phoneticPr fontId="13" type="noConversion"/>
  </si>
  <si>
    <t>병원검사료</t>
    <phoneticPr fontId="13" type="noConversion"/>
  </si>
  <si>
    <t>소형승용차</t>
    <phoneticPr fontId="13" type="noConversion"/>
  </si>
  <si>
    <t>중형승용차</t>
    <phoneticPr fontId="13" type="noConversion"/>
  </si>
  <si>
    <t>대형승용차</t>
    <phoneticPr fontId="13" type="noConversion"/>
  </si>
  <si>
    <t>경승용차</t>
    <phoneticPr fontId="13" type="noConversion"/>
  </si>
  <si>
    <t>다목적승용차</t>
    <phoneticPr fontId="13" type="noConversion"/>
  </si>
  <si>
    <t>자전거</t>
    <phoneticPr fontId="13" type="noConversion"/>
  </si>
  <si>
    <t>휘발유</t>
    <phoneticPr fontId="13" type="noConversion"/>
  </si>
  <si>
    <t>경유</t>
    <phoneticPr fontId="13" type="noConversion"/>
  </si>
  <si>
    <t>자동차용LPG</t>
    <phoneticPr fontId="13" type="noConversion"/>
  </si>
  <si>
    <t>LPG(자동차용)</t>
    <phoneticPr fontId="13" type="noConversion"/>
  </si>
  <si>
    <t>자동차전문수리비</t>
    <phoneticPr fontId="13" type="noConversion"/>
  </si>
  <si>
    <t>승용차타이어</t>
    <phoneticPr fontId="13" type="noConversion"/>
  </si>
  <si>
    <t>엔진오일교체료</t>
    <phoneticPr fontId="13" type="noConversion"/>
  </si>
  <si>
    <t>세차료</t>
    <phoneticPr fontId="13" type="noConversion"/>
  </si>
  <si>
    <t>자동차학원비</t>
    <phoneticPr fontId="13" type="noConversion"/>
  </si>
  <si>
    <t>주차료</t>
    <phoneticPr fontId="13" type="noConversion"/>
  </si>
  <si>
    <t>도로통행료</t>
    <phoneticPr fontId="13" type="noConversion"/>
  </si>
  <si>
    <t>승용차임차료</t>
    <phoneticPr fontId="13" type="noConversion"/>
  </si>
  <si>
    <t>자동차검사료</t>
    <phoneticPr fontId="13" type="noConversion"/>
  </si>
  <si>
    <t>대리운전이용료</t>
    <phoneticPr fontId="13" type="noConversion"/>
  </si>
  <si>
    <t>열차료</t>
    <phoneticPr fontId="13" type="noConversion"/>
  </si>
  <si>
    <t>도시철도료</t>
    <phoneticPr fontId="13" type="noConversion"/>
  </si>
  <si>
    <t>전철료</t>
    <phoneticPr fontId="13" type="noConversion"/>
  </si>
  <si>
    <t>시내버스료</t>
    <phoneticPr fontId="13" type="noConversion"/>
  </si>
  <si>
    <t>시외버스료</t>
    <phoneticPr fontId="13" type="noConversion"/>
  </si>
  <si>
    <t>고속버스료</t>
    <phoneticPr fontId="13" type="noConversion"/>
  </si>
  <si>
    <t>택시료</t>
    <phoneticPr fontId="13" type="noConversion"/>
  </si>
  <si>
    <t>국내항공료</t>
    <phoneticPr fontId="13" type="noConversion"/>
  </si>
  <si>
    <t>국제항공료</t>
    <phoneticPr fontId="13" type="noConversion"/>
  </si>
  <si>
    <t>공항이용료</t>
    <phoneticPr fontId="13" type="noConversion"/>
  </si>
  <si>
    <t>여객선료</t>
    <phoneticPr fontId="13" type="noConversion"/>
  </si>
  <si>
    <t>이삿짐운송료</t>
    <phoneticPr fontId="13" type="noConversion"/>
  </si>
  <si>
    <t>택배이용료</t>
    <phoneticPr fontId="13" type="noConversion"/>
  </si>
  <si>
    <t>우편료</t>
    <phoneticPr fontId="13" type="noConversion"/>
  </si>
  <si>
    <t xml:space="preserve"> </t>
    <phoneticPr fontId="4" type="noConversion"/>
  </si>
  <si>
    <t>유선전화기</t>
    <phoneticPr fontId="13" type="noConversion"/>
  </si>
  <si>
    <t>휴대전화기</t>
    <phoneticPr fontId="13" type="noConversion"/>
  </si>
  <si>
    <t>이동전화기</t>
    <phoneticPr fontId="13" type="noConversion"/>
  </si>
  <si>
    <t>유선전화료</t>
    <phoneticPr fontId="13" type="noConversion"/>
  </si>
  <si>
    <t>전화기본료</t>
    <phoneticPr fontId="13" type="noConversion"/>
  </si>
  <si>
    <t>시내통화료</t>
    <phoneticPr fontId="13" type="noConversion"/>
  </si>
  <si>
    <t>시외통화료</t>
    <phoneticPr fontId="13" type="noConversion"/>
  </si>
  <si>
    <t>국제통화료</t>
    <phoneticPr fontId="13" type="noConversion"/>
  </si>
  <si>
    <t>LM통화료</t>
    <phoneticPr fontId="13" type="noConversion"/>
  </si>
  <si>
    <t>유선전화부가서비스료</t>
    <phoneticPr fontId="13" type="noConversion"/>
  </si>
  <si>
    <t>공중전화통화료</t>
    <phoneticPr fontId="13" type="noConversion"/>
  </si>
  <si>
    <t>휴대전화료</t>
    <phoneticPr fontId="13" type="noConversion"/>
  </si>
  <si>
    <t>이동전화통화료</t>
    <phoneticPr fontId="13" type="noConversion"/>
  </si>
  <si>
    <t>이동전화데이터통화료</t>
    <phoneticPr fontId="13" type="noConversion"/>
  </si>
  <si>
    <t>인터넷회선이용료</t>
    <phoneticPr fontId="13" type="noConversion"/>
  </si>
  <si>
    <t>휴대전화기수리비</t>
    <phoneticPr fontId="13" type="noConversion"/>
  </si>
  <si>
    <t>TV</t>
    <phoneticPr fontId="13" type="noConversion"/>
  </si>
  <si>
    <t>영상음향기기</t>
    <phoneticPr fontId="13" type="noConversion"/>
  </si>
  <si>
    <t>미디어재생기기</t>
    <phoneticPr fontId="13" type="noConversion"/>
  </si>
  <si>
    <t>오디오기기</t>
    <phoneticPr fontId="13" type="noConversion"/>
  </si>
  <si>
    <t>비디오기기</t>
    <phoneticPr fontId="13" type="noConversion"/>
  </si>
  <si>
    <t>캠코더</t>
    <phoneticPr fontId="13" type="noConversion"/>
  </si>
  <si>
    <t>사진기</t>
    <phoneticPr fontId="13" type="noConversion"/>
  </si>
  <si>
    <t>컴퓨터</t>
    <phoneticPr fontId="13" type="noConversion"/>
  </si>
  <si>
    <t>컴퓨터본체</t>
    <phoneticPr fontId="13" type="noConversion"/>
  </si>
  <si>
    <t>모니터</t>
    <phoneticPr fontId="13" type="noConversion"/>
  </si>
  <si>
    <t>노트북컴퓨터</t>
    <phoneticPr fontId="13" type="noConversion"/>
  </si>
  <si>
    <t>프린터</t>
    <phoneticPr fontId="13" type="noConversion"/>
  </si>
  <si>
    <t>전자사전</t>
    <phoneticPr fontId="13" type="noConversion"/>
  </si>
  <si>
    <t>컴퓨터소모품</t>
    <phoneticPr fontId="13" type="noConversion"/>
  </si>
  <si>
    <t>저장장치</t>
    <phoneticPr fontId="13" type="noConversion"/>
  </si>
  <si>
    <t>기록매체</t>
    <phoneticPr fontId="13" type="noConversion"/>
  </si>
  <si>
    <t>피아노</t>
    <phoneticPr fontId="13" type="noConversion"/>
  </si>
  <si>
    <t>현악기</t>
    <phoneticPr fontId="13" type="noConversion"/>
  </si>
  <si>
    <t xml:space="preserve"> </t>
    <phoneticPr fontId="4" type="noConversion"/>
  </si>
  <si>
    <t xml:space="preserve"> </t>
    <phoneticPr fontId="13" type="noConversion"/>
  </si>
  <si>
    <t>장난감</t>
    <phoneticPr fontId="13" type="noConversion"/>
  </si>
  <si>
    <t>어린이승용물</t>
    <phoneticPr fontId="13" type="noConversion"/>
  </si>
  <si>
    <t>레저용품</t>
    <phoneticPr fontId="13" type="noConversion"/>
  </si>
  <si>
    <t>등산용품</t>
    <phoneticPr fontId="13" type="noConversion"/>
  </si>
  <si>
    <t>낚시용품</t>
    <phoneticPr fontId="13" type="noConversion"/>
  </si>
  <si>
    <t>캠핑용품</t>
    <phoneticPr fontId="13" type="noConversion"/>
  </si>
  <si>
    <t>운동용품</t>
    <phoneticPr fontId="13" type="noConversion"/>
  </si>
  <si>
    <t>생화</t>
    <phoneticPr fontId="13" type="noConversion"/>
  </si>
  <si>
    <t>애완동물용품</t>
    <phoneticPr fontId="13" type="noConversion"/>
  </si>
  <si>
    <t>애완동물용사료</t>
    <phoneticPr fontId="13" type="noConversion"/>
  </si>
  <si>
    <t>애완동물관리비</t>
    <phoneticPr fontId="13" type="noConversion"/>
  </si>
  <si>
    <t>애완동물병원비</t>
    <phoneticPr fontId="13" type="noConversion"/>
  </si>
  <si>
    <t>수영장이용료</t>
    <phoneticPr fontId="13" type="noConversion"/>
  </si>
  <si>
    <t>스키장이용료</t>
    <phoneticPr fontId="13" type="noConversion"/>
  </si>
  <si>
    <t>볼링장이용료</t>
    <phoneticPr fontId="13" type="noConversion"/>
  </si>
  <si>
    <t>헬스클럽이용료</t>
    <phoneticPr fontId="13" type="noConversion"/>
  </si>
  <si>
    <t>골프연습장이용료</t>
    <phoneticPr fontId="13" type="noConversion"/>
  </si>
  <si>
    <t>골프장이용료</t>
    <phoneticPr fontId="13" type="noConversion"/>
  </si>
  <si>
    <t>노래방이용료</t>
    <phoneticPr fontId="13" type="noConversion"/>
  </si>
  <si>
    <t>PC방이용료</t>
    <phoneticPr fontId="13" type="noConversion"/>
  </si>
  <si>
    <t>놀이시설이용료</t>
    <phoneticPr fontId="13" type="noConversion"/>
  </si>
  <si>
    <t>당구장이용료</t>
    <phoneticPr fontId="13" type="noConversion"/>
  </si>
  <si>
    <t>레포츠이용료</t>
    <phoneticPr fontId="13" type="noConversion"/>
  </si>
  <si>
    <t>운동경기관람료</t>
    <phoneticPr fontId="13" type="noConversion"/>
  </si>
  <si>
    <t>영상매체대여료</t>
    <phoneticPr fontId="13" type="noConversion"/>
  </si>
  <si>
    <t>영화관람료</t>
    <phoneticPr fontId="13" type="noConversion"/>
  </si>
  <si>
    <t>공연예술관람료</t>
    <phoneticPr fontId="13" type="noConversion"/>
  </si>
  <si>
    <t>문화시설입장료</t>
    <phoneticPr fontId="13" type="noConversion"/>
  </si>
  <si>
    <t>전시관입장료</t>
    <phoneticPr fontId="13" type="noConversion"/>
  </si>
  <si>
    <t>독서실비</t>
    <phoneticPr fontId="13" type="noConversion"/>
  </si>
  <si>
    <t>웹정보콘텐츠이용료</t>
    <phoneticPr fontId="13" type="noConversion"/>
  </si>
  <si>
    <t>모바일콘텐츠이용료</t>
    <phoneticPr fontId="13" type="noConversion"/>
  </si>
  <si>
    <t>TV수신료</t>
    <phoneticPr fontId="4" type="noConversion"/>
  </si>
  <si>
    <t>방송수신료</t>
    <phoneticPr fontId="13" type="noConversion"/>
  </si>
  <si>
    <t>사진서비스료</t>
    <phoneticPr fontId="13" type="noConversion"/>
  </si>
  <si>
    <t>사진촬영료</t>
    <phoneticPr fontId="13" type="noConversion"/>
  </si>
  <si>
    <t>I03208</t>
    <phoneticPr fontId="4" type="noConversion"/>
  </si>
  <si>
    <t>사진인화료</t>
    <phoneticPr fontId="13" type="noConversion"/>
  </si>
  <si>
    <t>초등학교학습서</t>
    <phoneticPr fontId="13" type="noConversion"/>
  </si>
  <si>
    <t>참고서(초등학교)</t>
    <phoneticPr fontId="13" type="noConversion"/>
  </si>
  <si>
    <t>교과서</t>
    <phoneticPr fontId="13" type="noConversion"/>
  </si>
  <si>
    <t>교과서(고등학교)</t>
    <phoneticPr fontId="13" type="noConversion"/>
  </si>
  <si>
    <t>고등학교학습서</t>
    <phoneticPr fontId="13" type="noConversion"/>
  </si>
  <si>
    <t>참고서(고등학교)</t>
    <phoneticPr fontId="13" type="noConversion"/>
  </si>
  <si>
    <t>중학교학습서</t>
    <phoneticPr fontId="13" type="noConversion"/>
  </si>
  <si>
    <t>참고서(중학교)</t>
    <phoneticPr fontId="13" type="noConversion"/>
  </si>
  <si>
    <t>I04102</t>
    <phoneticPr fontId="4" type="noConversion"/>
  </si>
  <si>
    <t>교과서(대학교)</t>
    <phoneticPr fontId="13" type="noConversion"/>
  </si>
  <si>
    <t>사전</t>
    <phoneticPr fontId="13" type="noConversion"/>
  </si>
  <si>
    <t>서적</t>
    <phoneticPr fontId="13" type="noConversion"/>
  </si>
  <si>
    <t>신문</t>
    <phoneticPr fontId="13" type="noConversion"/>
  </si>
  <si>
    <t>잡지</t>
    <phoneticPr fontId="13" type="noConversion"/>
  </si>
  <si>
    <t>볼펜</t>
    <phoneticPr fontId="13" type="noConversion"/>
  </si>
  <si>
    <t>연필</t>
    <phoneticPr fontId="13" type="noConversion"/>
  </si>
  <si>
    <t>회화용구</t>
    <phoneticPr fontId="13" type="noConversion"/>
  </si>
  <si>
    <t>공책</t>
    <phoneticPr fontId="13" type="noConversion"/>
  </si>
  <si>
    <t>스케치북</t>
    <phoneticPr fontId="13" type="noConversion"/>
  </si>
  <si>
    <t>복사용지</t>
    <phoneticPr fontId="13" type="noConversion"/>
  </si>
  <si>
    <t>국내단체여행비</t>
    <phoneticPr fontId="13" type="noConversion"/>
  </si>
  <si>
    <t>단체여행비(국내)</t>
    <phoneticPr fontId="13" type="noConversion"/>
  </si>
  <si>
    <t>해외단체여행비</t>
    <phoneticPr fontId="13" type="noConversion"/>
  </si>
  <si>
    <t>단체여행비(해외)</t>
    <phoneticPr fontId="13" type="noConversion"/>
  </si>
  <si>
    <t>유치원납입금</t>
    <phoneticPr fontId="13" type="noConversion"/>
  </si>
  <si>
    <t>납입금(유치원)</t>
    <phoneticPr fontId="13" type="noConversion"/>
  </si>
  <si>
    <t>고등학교납입금</t>
    <phoneticPr fontId="13" type="noConversion"/>
  </si>
  <si>
    <t>납입금(고등학교)</t>
    <phoneticPr fontId="13" type="noConversion"/>
  </si>
  <si>
    <t>전문대학납입금</t>
    <phoneticPr fontId="13" type="noConversion"/>
  </si>
  <si>
    <t>납입금(전문대학)</t>
    <phoneticPr fontId="13" type="noConversion"/>
  </si>
  <si>
    <t>국공립대학원납입금</t>
    <phoneticPr fontId="13" type="noConversion"/>
  </si>
  <si>
    <t>납입금(국공립대학교)</t>
    <phoneticPr fontId="13" type="noConversion"/>
  </si>
  <si>
    <t>사립대학교납입금</t>
    <phoneticPr fontId="13" type="noConversion"/>
  </si>
  <si>
    <t>납입금(사립대학교)</t>
    <phoneticPr fontId="13" type="noConversion"/>
  </si>
  <si>
    <t>국공립대학교납입금</t>
    <phoneticPr fontId="13" type="noConversion"/>
  </si>
  <si>
    <t>납입금(국공립대학원)</t>
    <phoneticPr fontId="13" type="noConversion"/>
  </si>
  <si>
    <t>사립대학원납입금</t>
    <phoneticPr fontId="13" type="noConversion"/>
  </si>
  <si>
    <t>납입금(사립대학원)</t>
    <phoneticPr fontId="13" type="noConversion"/>
  </si>
  <si>
    <t>고등학생학원비</t>
    <phoneticPr fontId="13" type="noConversion"/>
  </si>
  <si>
    <t>대입학원비(단과)</t>
    <phoneticPr fontId="13" type="noConversion"/>
  </si>
  <si>
    <t>대입학원비(종합)</t>
    <phoneticPr fontId="13" type="noConversion"/>
  </si>
  <si>
    <t>중학생학원비</t>
    <phoneticPr fontId="13" type="noConversion"/>
  </si>
  <si>
    <t>고입학원비(단과)</t>
    <phoneticPr fontId="13" type="noConversion"/>
  </si>
  <si>
    <t>고입학원비(종합)</t>
    <phoneticPr fontId="13" type="noConversion"/>
  </si>
  <si>
    <t>초등학생학원비</t>
    <phoneticPr fontId="13" type="noConversion"/>
  </si>
  <si>
    <t>보습학원비</t>
    <phoneticPr fontId="13" type="noConversion"/>
  </si>
  <si>
    <t>J04105</t>
    <phoneticPr fontId="4" type="noConversion"/>
  </si>
  <si>
    <t>이러닝이용료</t>
    <phoneticPr fontId="13" type="noConversion"/>
  </si>
  <si>
    <t>피아노학원비</t>
    <phoneticPr fontId="13" type="noConversion"/>
  </si>
  <si>
    <t>미술학원비</t>
    <phoneticPr fontId="13" type="noConversion"/>
  </si>
  <si>
    <t>태권도학원비</t>
    <phoneticPr fontId="13" type="noConversion"/>
  </si>
  <si>
    <t>전산학원비</t>
    <phoneticPr fontId="13" type="noConversion"/>
  </si>
  <si>
    <t>가정학습지</t>
    <phoneticPr fontId="13" type="noConversion"/>
  </si>
  <si>
    <t>취업학원비</t>
    <phoneticPr fontId="13" type="noConversion"/>
  </si>
  <si>
    <t>외국어학원비</t>
    <phoneticPr fontId="13" type="noConversion"/>
  </si>
  <si>
    <t>운동강습료</t>
    <phoneticPr fontId="13" type="noConversion"/>
  </si>
  <si>
    <t>설렁탕</t>
    <phoneticPr fontId="13" type="noConversion"/>
  </si>
  <si>
    <t>냉면</t>
    <phoneticPr fontId="13" type="noConversion"/>
  </si>
  <si>
    <t>비빔밥</t>
    <phoneticPr fontId="13" type="noConversion"/>
  </si>
  <si>
    <t>갈비탕</t>
    <phoneticPr fontId="13" type="noConversion"/>
  </si>
  <si>
    <t>삼계탕</t>
    <phoneticPr fontId="13" type="noConversion"/>
  </si>
  <si>
    <t>김치찌개백반</t>
    <phoneticPr fontId="13" type="noConversion"/>
  </si>
  <si>
    <t>된장찌개백반</t>
    <phoneticPr fontId="13" type="noConversion"/>
  </si>
  <si>
    <t>불고기</t>
    <phoneticPr fontId="13" type="noConversion"/>
  </si>
  <si>
    <t>등심(외식)</t>
    <phoneticPr fontId="13" type="noConversion"/>
  </si>
  <si>
    <t>돼지갈비(외식)</t>
    <phoneticPr fontId="13" type="noConversion"/>
  </si>
  <si>
    <t>삼겹살(외식)</t>
    <phoneticPr fontId="13" type="noConversion"/>
  </si>
  <si>
    <t>쇠갈비(외식)</t>
    <phoneticPr fontId="13" type="noConversion"/>
  </si>
  <si>
    <t>자장면</t>
    <phoneticPr fontId="13" type="noConversion"/>
  </si>
  <si>
    <t>짬뽕</t>
    <phoneticPr fontId="13" type="noConversion"/>
  </si>
  <si>
    <t>탕수육</t>
    <phoneticPr fontId="13" type="noConversion"/>
  </si>
  <si>
    <t>볶음밥</t>
    <phoneticPr fontId="13" type="noConversion"/>
  </si>
  <si>
    <t>돈가스</t>
    <phoneticPr fontId="13" type="noConversion"/>
  </si>
  <si>
    <t>스테이크</t>
    <phoneticPr fontId="13" type="noConversion"/>
  </si>
  <si>
    <t>A12117</t>
    <phoneticPr fontId="4" type="noConversion"/>
  </si>
  <si>
    <t>생선초밥</t>
    <phoneticPr fontId="13" type="noConversion"/>
  </si>
  <si>
    <t>튀김닭</t>
    <phoneticPr fontId="13" type="noConversion"/>
  </si>
  <si>
    <t>햄버거</t>
    <phoneticPr fontId="13" type="noConversion"/>
  </si>
  <si>
    <t>피자</t>
    <phoneticPr fontId="13" type="noConversion"/>
  </si>
  <si>
    <t>스파게티</t>
    <phoneticPr fontId="13" type="noConversion"/>
  </si>
  <si>
    <t>죽(외식)</t>
    <phoneticPr fontId="13" type="noConversion"/>
  </si>
  <si>
    <t>칼국수</t>
    <phoneticPr fontId="13" type="noConversion"/>
  </si>
  <si>
    <t>라면(외식)</t>
    <phoneticPr fontId="13" type="noConversion"/>
  </si>
  <si>
    <t>김밥</t>
    <phoneticPr fontId="13" type="noConversion"/>
  </si>
  <si>
    <t>샐러드</t>
    <phoneticPr fontId="13" type="noConversion"/>
  </si>
  <si>
    <t>아이스크림(외식)</t>
    <phoneticPr fontId="13" type="noConversion"/>
  </si>
  <si>
    <t>자판기커피</t>
    <phoneticPr fontId="13" type="noConversion"/>
  </si>
  <si>
    <t>커피(외식)</t>
    <phoneticPr fontId="13" type="noConversion"/>
  </si>
  <si>
    <t>국산차(외식)</t>
    <phoneticPr fontId="13" type="noConversion"/>
  </si>
  <si>
    <t>생맥주</t>
    <phoneticPr fontId="13" type="noConversion"/>
  </si>
  <si>
    <t>맥주(외식)</t>
    <phoneticPr fontId="13" type="noConversion"/>
  </si>
  <si>
    <t>소주(외식)</t>
    <phoneticPr fontId="13" type="noConversion"/>
  </si>
  <si>
    <t>약주(외식)</t>
    <phoneticPr fontId="13" type="noConversion"/>
  </si>
  <si>
    <t>과실주(외식)</t>
    <phoneticPr fontId="13" type="noConversion"/>
  </si>
  <si>
    <t>도시락</t>
    <phoneticPr fontId="13" type="noConversion"/>
  </si>
  <si>
    <t>학교급식비</t>
    <phoneticPr fontId="13" type="noConversion"/>
  </si>
  <si>
    <t>구내식당식사비</t>
    <phoneticPr fontId="13" type="noConversion"/>
  </si>
  <si>
    <t>호텔숙박료</t>
    <phoneticPr fontId="13" type="noConversion"/>
  </si>
  <si>
    <t>숙박료(호텔)</t>
    <phoneticPr fontId="13" type="noConversion"/>
  </si>
  <si>
    <t>여관숙박료</t>
    <phoneticPr fontId="13" type="noConversion"/>
  </si>
  <si>
    <t>숙박료(여관)</t>
    <phoneticPr fontId="13" type="noConversion"/>
  </si>
  <si>
    <t>콘도미니엄이용료</t>
    <phoneticPr fontId="13" type="noConversion"/>
  </si>
  <si>
    <t>학교기숙사비</t>
    <phoneticPr fontId="13" type="noConversion"/>
  </si>
  <si>
    <t>휴양시설이용료</t>
    <phoneticPr fontId="13" type="noConversion"/>
  </si>
  <si>
    <t>목욕료</t>
    <phoneticPr fontId="13" type="noConversion"/>
  </si>
  <si>
    <t>찜질방이용료</t>
    <phoneticPr fontId="13" type="noConversion"/>
  </si>
  <si>
    <t>이용료</t>
    <phoneticPr fontId="13" type="noConversion"/>
  </si>
  <si>
    <t>미용료</t>
    <phoneticPr fontId="13" type="noConversion"/>
  </si>
  <si>
    <t>전기면도기</t>
    <phoneticPr fontId="13" type="noConversion"/>
  </si>
  <si>
    <t>면도날</t>
    <phoneticPr fontId="13" type="noConversion"/>
  </si>
  <si>
    <t>헤어드라이어</t>
    <phoneticPr fontId="13" type="noConversion"/>
  </si>
  <si>
    <t>칫솔</t>
    <phoneticPr fontId="13" type="noConversion"/>
  </si>
  <si>
    <t>치약</t>
    <phoneticPr fontId="13" type="noConversion"/>
  </si>
  <si>
    <t>비누</t>
    <phoneticPr fontId="13" type="noConversion"/>
  </si>
  <si>
    <t>화장비누</t>
    <phoneticPr fontId="13" type="noConversion"/>
  </si>
  <si>
    <t>샴푸</t>
    <phoneticPr fontId="13" type="noConversion"/>
  </si>
  <si>
    <t>화장지</t>
    <phoneticPr fontId="13" type="noConversion"/>
  </si>
  <si>
    <t>기초화장품</t>
    <phoneticPr fontId="13" type="noConversion"/>
  </si>
  <si>
    <t>화장수</t>
    <phoneticPr fontId="13" type="noConversion"/>
  </si>
  <si>
    <t>로션</t>
    <phoneticPr fontId="13" type="noConversion"/>
  </si>
  <si>
    <t>영양크림</t>
    <phoneticPr fontId="13" type="noConversion"/>
  </si>
  <si>
    <t>클린징크림</t>
    <phoneticPr fontId="13" type="noConversion"/>
  </si>
  <si>
    <t>색조화장품</t>
    <phoneticPr fontId="13" type="noConversion"/>
  </si>
  <si>
    <t>페이스파우더</t>
    <phoneticPr fontId="13" type="noConversion"/>
  </si>
  <si>
    <t>파운데이션</t>
    <phoneticPr fontId="13" type="noConversion"/>
  </si>
  <si>
    <t>립스틱</t>
    <phoneticPr fontId="13" type="noConversion"/>
  </si>
  <si>
    <t>기능성화장품</t>
    <phoneticPr fontId="13" type="noConversion"/>
  </si>
  <si>
    <t>썬크림</t>
    <phoneticPr fontId="13" type="noConversion"/>
  </si>
  <si>
    <t>모발염색약</t>
    <phoneticPr fontId="13" type="noConversion"/>
  </si>
  <si>
    <t>염모제</t>
    <phoneticPr fontId="13" type="noConversion"/>
  </si>
  <si>
    <t>손목시계</t>
    <phoneticPr fontId="13" type="noConversion"/>
  </si>
  <si>
    <t>금반지</t>
    <phoneticPr fontId="13" type="noConversion"/>
  </si>
  <si>
    <t>가방</t>
    <phoneticPr fontId="13" type="noConversion"/>
  </si>
  <si>
    <t>핸드백</t>
    <phoneticPr fontId="13" type="noConversion"/>
  </si>
  <si>
    <t>우산</t>
    <phoneticPr fontId="13" type="noConversion"/>
  </si>
  <si>
    <t>보육시설이용료</t>
    <phoneticPr fontId="13" type="noConversion"/>
  </si>
  <si>
    <t>산후조리원이용료</t>
    <phoneticPr fontId="13" type="noConversion"/>
  </si>
  <si>
    <t>자동차보험료</t>
    <phoneticPr fontId="13" type="noConversion"/>
  </si>
  <si>
    <t>자동차의무보험료</t>
    <phoneticPr fontId="13" type="noConversion"/>
  </si>
  <si>
    <t>자동차임의보험료</t>
    <phoneticPr fontId="13" type="noConversion"/>
  </si>
  <si>
    <t>보험서비스료</t>
    <phoneticPr fontId="4" type="noConversion"/>
  </si>
  <si>
    <t>금융수수료</t>
    <phoneticPr fontId="13" type="noConversion"/>
  </si>
  <si>
    <t>행정수수료</t>
    <phoneticPr fontId="13" type="noConversion"/>
  </si>
  <si>
    <t>대입전형료</t>
    <phoneticPr fontId="13" type="noConversion"/>
  </si>
  <si>
    <t>시험응시료</t>
    <phoneticPr fontId="13" type="noConversion"/>
  </si>
  <si>
    <t>장례비</t>
    <phoneticPr fontId="4" type="noConversion"/>
  </si>
  <si>
    <t>L03105</t>
    <phoneticPr fontId="4" type="noConversion"/>
  </si>
  <si>
    <t>장례식장이용료</t>
    <phoneticPr fontId="13" type="noConversion"/>
  </si>
  <si>
    <t>A011180</t>
  </si>
  <si>
    <t>A016160</t>
  </si>
  <si>
    <t>A016150</t>
  </si>
  <si>
    <t>F011160</t>
  </si>
  <si>
    <t>F012080</t>
  </si>
  <si>
    <t>F022020</t>
  </si>
  <si>
    <t>F031020</t>
  </si>
  <si>
    <t>I021030</t>
  </si>
  <si>
    <t>K011390</t>
  </si>
  <si>
    <t>K021050</t>
  </si>
  <si>
    <t>L021070</t>
  </si>
  <si>
    <t>L031040</t>
  </si>
  <si>
    <t>모발염색약</t>
    <phoneticPr fontId="4" type="noConversion"/>
  </si>
  <si>
    <t>2017년 기준(460개 품목)</t>
    <phoneticPr fontId="4" type="noConversion"/>
  </si>
  <si>
    <t>L021080</t>
    <phoneticPr fontId="4" type="noConversion"/>
  </si>
  <si>
    <t>선글라스</t>
    <phoneticPr fontId="4" type="noConversion"/>
  </si>
  <si>
    <t>이발료</t>
    <phoneticPr fontId="4" type="noConversion"/>
  </si>
  <si>
    <t>기타음료(외식)</t>
  </si>
  <si>
    <t>학교보충교육비</t>
  </si>
  <si>
    <t>J041110</t>
  </si>
  <si>
    <t>기타학원비</t>
  </si>
  <si>
    <t>고등학생학원비</t>
  </si>
  <si>
    <t>중학생학원비</t>
  </si>
  <si>
    <t>초등학생학원비</t>
  </si>
  <si>
    <t>기타문구</t>
  </si>
  <si>
    <t>종이문구</t>
  </si>
  <si>
    <t>초등학교학습서</t>
  </si>
  <si>
    <t>고등학교학습서</t>
  </si>
  <si>
    <t>중학교학습서</t>
  </si>
  <si>
    <t>관람시설이용료</t>
  </si>
  <si>
    <t>사진서비스료</t>
  </si>
  <si>
    <t>레저용품</t>
  </si>
  <si>
    <t>반려동물용품</t>
  </si>
  <si>
    <t>반려동물관리비</t>
  </si>
  <si>
    <t>화초</t>
  </si>
  <si>
    <t>헬스기구</t>
  </si>
  <si>
    <t>악기</t>
  </si>
  <si>
    <t>컴퓨터</t>
  </si>
  <si>
    <t>저장장치</t>
  </si>
  <si>
    <t>G032030</t>
    <phoneticPr fontId="4" type="noConversion"/>
  </si>
  <si>
    <t>G022060</t>
  </si>
  <si>
    <t>블랙박스</t>
  </si>
  <si>
    <t>G011080</t>
  </si>
  <si>
    <t>전기동력차</t>
  </si>
  <si>
    <t>생리대</t>
  </si>
  <si>
    <t>의료측정기</t>
  </si>
  <si>
    <t>보청기</t>
  </si>
  <si>
    <t>F012090</t>
  </si>
  <si>
    <t>F012100</t>
  </si>
  <si>
    <t>마스크</t>
  </si>
  <si>
    <t>병원약품</t>
  </si>
  <si>
    <t>비타민제</t>
  </si>
  <si>
    <t>치과구강용약</t>
  </si>
  <si>
    <t>유산균</t>
  </si>
  <si>
    <t>소형가사용품</t>
  </si>
  <si>
    <t>전기레인지</t>
  </si>
  <si>
    <t>E031150</t>
  </si>
  <si>
    <t>보온매트</t>
  </si>
  <si>
    <t>의류건조기</t>
  </si>
  <si>
    <t>소형주방가전</t>
  </si>
  <si>
    <t>유아동복</t>
  </si>
  <si>
    <t>여자외의</t>
  </si>
  <si>
    <t>남자외의</t>
  </si>
  <si>
    <t>기타음료</t>
  </si>
  <si>
    <t>주스</t>
  </si>
  <si>
    <t>양념소스</t>
  </si>
  <si>
    <t>A019200</t>
  </si>
  <si>
    <t>편의점도시락</t>
  </si>
  <si>
    <t>아몬드</t>
  </si>
  <si>
    <t>망고</t>
  </si>
  <si>
    <t>체리</t>
  </si>
  <si>
    <t>아보카도</t>
  </si>
  <si>
    <t>파인애플</t>
  </si>
  <si>
    <t>A016200</t>
  </si>
  <si>
    <t>과일가공품</t>
  </si>
  <si>
    <t>블루베리</t>
  </si>
  <si>
    <t>A016190</t>
  </si>
  <si>
    <t>A016170</t>
  </si>
  <si>
    <t>A016180</t>
  </si>
  <si>
    <t>낙지</t>
  </si>
  <si>
    <t>수산물통조림</t>
  </si>
  <si>
    <t>A013190</t>
  </si>
  <si>
    <t>새우</t>
  </si>
  <si>
    <t>기타육류가공품</t>
  </si>
  <si>
    <t>쌀국수</t>
  </si>
  <si>
    <t>2020년 기준(458개 품목)</t>
    <phoneticPr fontId="4" type="noConversion"/>
  </si>
  <si>
    <t>2022년 기준(458개 품목)</t>
    <phoneticPr fontId="4" type="noConversion"/>
  </si>
  <si>
    <t>지출목적별 품목 및 가중치(2000년 ~ 2022년)</t>
    <phoneticPr fontId="4" type="noConversion"/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</si>
</sst>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0.0_);[Red]\(0.0\)"/>
    <numFmt numFmtId="178" formatCode="0_);\(0\)"/>
    <numFmt numFmtId="179" formatCode="0_ "/>
  </numFmts>
  <fonts count="1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9"/>
      <name val="돋움"/>
      <family val="3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u/>
      <sz val="11"/>
      <color indexed="12"/>
      <name val="돋움"/>
      <family val="3"/>
      <charset val="129"/>
    </font>
    <font>
      <sz val="12"/>
      <color indexed="8"/>
      <name val="굴림"/>
      <family val="3"/>
      <charset val="129"/>
    </font>
    <font>
      <b/>
      <sz val="9"/>
      <color indexed="81"/>
      <name val="굴림"/>
      <family val="3"/>
      <charset val="129"/>
    </font>
    <font>
      <sz val="9"/>
      <color indexed="81"/>
      <name val="굴림"/>
      <family val="3"/>
      <charset val="129"/>
    </font>
    <font>
      <sz val="10"/>
      <name val="돋움체"/>
      <family val="3"/>
      <charset val="129"/>
    </font>
    <font>
      <b/>
      <sz val="24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 style="dotted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14" fillId="0" borderId="0"/>
    <xf numFmtId="41" fontId="17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263">
    <xf numFmtId="0" fontId="0" fillId="0" borderId="0" xfId="0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horizontal="left" vertical="center" wrapText="1"/>
    </xf>
    <xf numFmtId="177" fontId="6" fillId="0" borderId="0" xfId="0" applyNumberFormat="1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176" fontId="11" fillId="0" borderId="13" xfId="0" applyNumberFormat="1" applyFont="1" applyFill="1" applyBorder="1" applyAlignment="1">
      <alignment horizontal="center" vertical="center"/>
    </xf>
    <xf numFmtId="176" fontId="11" fillId="0" borderId="11" xfId="0" applyNumberFormat="1" applyFont="1" applyFill="1" applyBorder="1" applyAlignment="1">
      <alignment horizontal="center" vertical="center"/>
    </xf>
    <xf numFmtId="176" fontId="11" fillId="0" borderId="12" xfId="0" applyNumberFormat="1" applyFont="1" applyFill="1" applyBorder="1" applyAlignment="1">
      <alignment horizontal="center" vertical="center"/>
    </xf>
    <xf numFmtId="49" fontId="6" fillId="0" borderId="14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NumberFormat="1" applyFont="1" applyFill="1" applyBorder="1" applyAlignment="1">
      <alignment horizontal="left" vertical="center" wrapText="1"/>
    </xf>
    <xf numFmtId="0" fontId="6" fillId="0" borderId="16" xfId="0" applyNumberFormat="1" applyFont="1" applyFill="1" applyBorder="1" applyAlignment="1">
      <alignment horizontal="left" vertical="center" wrapText="1"/>
    </xf>
    <xf numFmtId="177" fontId="11" fillId="0" borderId="17" xfId="0" applyNumberFormat="1" applyFont="1" applyFill="1" applyBorder="1" applyAlignment="1">
      <alignment horizontal="right" vertical="center" wrapText="1"/>
    </xf>
    <xf numFmtId="0" fontId="11" fillId="0" borderId="18" xfId="0" applyFont="1" applyFill="1" applyBorder="1" applyAlignment="1">
      <alignment horizontal="left" vertical="center" wrapText="1"/>
    </xf>
    <xf numFmtId="178" fontId="11" fillId="0" borderId="19" xfId="0" applyNumberFormat="1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center" vertical="center" wrapText="1"/>
    </xf>
    <xf numFmtId="49" fontId="6" fillId="0" borderId="20" xfId="0" applyNumberFormat="1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1" xfId="0" applyNumberFormat="1" applyFont="1" applyFill="1" applyBorder="1" applyAlignment="1">
      <alignment horizontal="left" vertical="center" wrapText="1"/>
    </xf>
    <xf numFmtId="0" fontId="6" fillId="0" borderId="22" xfId="0" applyNumberFormat="1" applyFont="1" applyFill="1" applyBorder="1" applyAlignment="1">
      <alignment horizontal="left" vertical="center" wrapText="1"/>
    </xf>
    <xf numFmtId="0" fontId="6" fillId="0" borderId="23" xfId="0" applyNumberFormat="1" applyFont="1" applyFill="1" applyBorder="1" applyAlignment="1">
      <alignment horizontal="left" vertical="center" wrapText="1"/>
    </xf>
    <xf numFmtId="177" fontId="11" fillId="0" borderId="13" xfId="0" applyNumberFormat="1" applyFont="1" applyFill="1" applyBorder="1" applyAlignment="1">
      <alignment horizontal="right" vertical="center" wrapText="1"/>
    </xf>
    <xf numFmtId="0" fontId="11" fillId="0" borderId="11" xfId="0" applyFont="1" applyFill="1" applyBorder="1" applyAlignment="1">
      <alignment vertical="center" wrapText="1"/>
    </xf>
    <xf numFmtId="178" fontId="11" fillId="0" borderId="12" xfId="0" applyNumberFormat="1" applyFont="1" applyFill="1" applyBorder="1" applyAlignment="1">
      <alignment horizontal="left" vertical="center" wrapText="1"/>
    </xf>
    <xf numFmtId="49" fontId="6" fillId="0" borderId="24" xfId="0" applyNumberFormat="1" applyFont="1" applyFill="1" applyBorder="1" applyAlignment="1">
      <alignment horizontal="center" vertical="center" wrapText="1"/>
    </xf>
    <xf numFmtId="179" fontId="11" fillId="0" borderId="25" xfId="0" applyNumberFormat="1" applyFont="1" applyFill="1" applyBorder="1" applyAlignment="1">
      <alignment vertical="center" wrapText="1"/>
    </xf>
    <xf numFmtId="178" fontId="11" fillId="0" borderId="26" xfId="0" applyNumberFormat="1" applyFont="1" applyFill="1" applyBorder="1" applyAlignment="1">
      <alignment horizontal="left" vertical="center" wrapText="1"/>
    </xf>
    <xf numFmtId="177" fontId="11" fillId="0" borderId="27" xfId="0" applyNumberFormat="1" applyFont="1" applyFill="1" applyBorder="1" applyAlignment="1">
      <alignment horizontal="right" vertical="center" wrapText="1"/>
    </xf>
    <xf numFmtId="0" fontId="11" fillId="0" borderId="28" xfId="0" applyFont="1" applyFill="1" applyBorder="1" applyAlignment="1">
      <alignment vertical="center" wrapText="1"/>
    </xf>
    <xf numFmtId="178" fontId="11" fillId="0" borderId="29" xfId="0" applyNumberFormat="1" applyFont="1" applyFill="1" applyBorder="1" applyAlignment="1">
      <alignment horizontal="left" vertical="center" wrapText="1"/>
    </xf>
    <xf numFmtId="0" fontId="7" fillId="0" borderId="28" xfId="0" applyFont="1" applyFill="1" applyBorder="1" applyAlignment="1">
      <alignment vertical="center" wrapText="1"/>
    </xf>
    <xf numFmtId="0" fontId="7" fillId="0" borderId="29" xfId="0" applyFont="1" applyFill="1" applyBorder="1" applyAlignment="1">
      <alignment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12" fillId="0" borderId="30" xfId="0" applyNumberFormat="1" applyFont="1" applyFill="1" applyBorder="1" applyAlignment="1">
      <alignment vertical="center" wrapText="1"/>
    </xf>
    <xf numFmtId="0" fontId="12" fillId="0" borderId="31" xfId="0" applyNumberFormat="1" applyFont="1" applyFill="1" applyBorder="1" applyAlignment="1">
      <alignment horizontal="left" vertical="center" wrapText="1"/>
    </xf>
    <xf numFmtId="177" fontId="12" fillId="0" borderId="32" xfId="0" applyNumberFormat="1" applyFont="1" applyFill="1" applyBorder="1" applyAlignment="1">
      <alignment horizontal="right" vertical="center" wrapText="1"/>
    </xf>
    <xf numFmtId="0" fontId="7" fillId="0" borderId="30" xfId="0" applyFont="1" applyFill="1" applyBorder="1" applyAlignment="1">
      <alignment vertical="center" wrapText="1"/>
    </xf>
    <xf numFmtId="0" fontId="7" fillId="0" borderId="31" xfId="0" applyFont="1" applyFill="1" applyBorder="1" applyAlignment="1">
      <alignment vertical="center" wrapText="1"/>
    </xf>
    <xf numFmtId="0" fontId="7" fillId="0" borderId="32" xfId="0" applyFont="1" applyFill="1" applyBorder="1" applyAlignment="1">
      <alignment vertical="center" wrapText="1"/>
    </xf>
    <xf numFmtId="49" fontId="7" fillId="0" borderId="30" xfId="1" applyNumberFormat="1" applyFont="1" applyFill="1" applyBorder="1" applyAlignment="1">
      <alignment horizontal="left" vertical="center" wrapText="1"/>
    </xf>
    <xf numFmtId="49" fontId="7" fillId="0" borderId="31" xfId="1" applyNumberFormat="1" applyFont="1" applyFill="1" applyBorder="1" applyAlignment="1">
      <alignment horizontal="left" vertical="center" wrapText="1"/>
    </xf>
    <xf numFmtId="0" fontId="7" fillId="0" borderId="32" xfId="1" applyFont="1" applyFill="1" applyBorder="1" applyAlignment="1">
      <alignment horizontal="right" vertical="center" wrapText="1"/>
    </xf>
    <xf numFmtId="0" fontId="12" fillId="0" borderId="30" xfId="0" applyFont="1" applyFill="1" applyBorder="1" applyAlignment="1">
      <alignment vertical="center" wrapText="1"/>
    </xf>
    <xf numFmtId="0" fontId="12" fillId="0" borderId="33" xfId="0" applyNumberFormat="1" applyFont="1" applyFill="1" applyBorder="1" applyAlignment="1">
      <alignment horizontal="left" vertical="center" wrapText="1"/>
    </xf>
    <xf numFmtId="0" fontId="12" fillId="0" borderId="34" xfId="0" applyNumberFormat="1" applyFont="1" applyFill="1" applyBorder="1" applyAlignment="1">
      <alignment vertical="center" wrapText="1"/>
    </xf>
    <xf numFmtId="177" fontId="12" fillId="0" borderId="35" xfId="0" applyNumberFormat="1" applyFont="1" applyFill="1" applyBorder="1" applyAlignment="1">
      <alignment horizontal="right" vertical="center" wrapText="1"/>
    </xf>
    <xf numFmtId="0" fontId="7" fillId="0" borderId="34" xfId="0" applyFont="1" applyFill="1" applyBorder="1" applyAlignment="1">
      <alignment vertical="center" wrapText="1"/>
    </xf>
    <xf numFmtId="0" fontId="7" fillId="0" borderId="33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vertical="center" wrapText="1"/>
    </xf>
    <xf numFmtId="0" fontId="12" fillId="0" borderId="36" xfId="0" applyNumberFormat="1" applyFont="1" applyFill="1" applyBorder="1" applyAlignment="1">
      <alignment vertical="center" wrapText="1"/>
    </xf>
    <xf numFmtId="0" fontId="12" fillId="0" borderId="37" xfId="0" applyNumberFormat="1" applyFont="1" applyFill="1" applyBorder="1" applyAlignment="1">
      <alignment horizontal="left" vertical="center" wrapText="1"/>
    </xf>
    <xf numFmtId="177" fontId="12" fillId="0" borderId="38" xfId="0" applyNumberFormat="1" applyFont="1" applyFill="1" applyBorder="1" applyAlignment="1">
      <alignment horizontal="right" vertical="center" wrapText="1"/>
    </xf>
    <xf numFmtId="0" fontId="7" fillId="0" borderId="36" xfId="0" applyFont="1" applyFill="1" applyBorder="1" applyAlignment="1">
      <alignment vertical="center" wrapText="1"/>
    </xf>
    <xf numFmtId="0" fontId="7" fillId="0" borderId="37" xfId="0" applyFont="1" applyFill="1" applyBorder="1" applyAlignment="1">
      <alignment vertical="center" wrapText="1"/>
    </xf>
    <xf numFmtId="0" fontId="7" fillId="0" borderId="38" xfId="0" applyFont="1" applyFill="1" applyBorder="1" applyAlignment="1">
      <alignment vertical="center" wrapText="1"/>
    </xf>
    <xf numFmtId="0" fontId="12" fillId="0" borderId="39" xfId="0" applyNumberFormat="1" applyFont="1" applyFill="1" applyBorder="1" applyAlignment="1">
      <alignment horizontal="left" vertical="center" wrapText="1"/>
    </xf>
    <xf numFmtId="0" fontId="12" fillId="0" borderId="40" xfId="0" applyNumberFormat="1" applyFont="1" applyFill="1" applyBorder="1" applyAlignment="1">
      <alignment vertical="center" wrapText="1"/>
    </xf>
    <xf numFmtId="177" fontId="12" fillId="0" borderId="41" xfId="0" applyNumberFormat="1" applyFont="1" applyFill="1" applyBorder="1" applyAlignment="1">
      <alignment horizontal="right" vertical="center" wrapText="1"/>
    </xf>
    <xf numFmtId="0" fontId="12" fillId="0" borderId="29" xfId="0" applyNumberFormat="1" applyFont="1" applyFill="1" applyBorder="1" applyAlignment="1">
      <alignment horizontal="left" vertical="center" wrapText="1"/>
    </xf>
    <xf numFmtId="0" fontId="12" fillId="0" borderId="28" xfId="0" applyNumberFormat="1" applyFont="1" applyFill="1" applyBorder="1" applyAlignment="1">
      <alignment vertical="center" wrapText="1"/>
    </xf>
    <xf numFmtId="0" fontId="6" fillId="0" borderId="28" xfId="0" applyFont="1" applyFill="1" applyBorder="1" applyAlignment="1">
      <alignment vertical="center" wrapText="1"/>
    </xf>
    <xf numFmtId="0" fontId="6" fillId="0" borderId="29" xfId="0" applyFont="1" applyFill="1" applyBorder="1" applyAlignment="1">
      <alignment vertical="center" wrapText="1"/>
    </xf>
    <xf numFmtId="0" fontId="12" fillId="0" borderId="42" xfId="0" applyNumberFormat="1" applyFont="1" applyFill="1" applyBorder="1" applyAlignment="1">
      <alignment horizontal="left" vertical="center" wrapText="1"/>
    </xf>
    <xf numFmtId="0" fontId="12" fillId="0" borderId="43" xfId="0" applyNumberFormat="1" applyFont="1" applyFill="1" applyBorder="1" applyAlignment="1">
      <alignment vertical="center" wrapText="1"/>
    </xf>
    <xf numFmtId="177" fontId="12" fillId="0" borderId="44" xfId="0" applyNumberFormat="1" applyFont="1" applyFill="1" applyBorder="1" applyAlignment="1">
      <alignment horizontal="right" vertical="center" wrapText="1"/>
    </xf>
    <xf numFmtId="0" fontId="7" fillId="0" borderId="43" xfId="0" applyFont="1" applyFill="1" applyBorder="1" applyAlignment="1">
      <alignment vertical="center" wrapText="1"/>
    </xf>
    <xf numFmtId="0" fontId="7" fillId="0" borderId="42" xfId="0" applyFont="1" applyFill="1" applyBorder="1" applyAlignment="1">
      <alignment vertical="center" wrapText="1"/>
    </xf>
    <xf numFmtId="0" fontId="7" fillId="0" borderId="44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vertical="center" wrapText="1"/>
    </xf>
    <xf numFmtId="49" fontId="6" fillId="0" borderId="45" xfId="0" applyNumberFormat="1" applyFont="1" applyFill="1" applyBorder="1" applyAlignment="1">
      <alignment horizontal="center" vertical="center" wrapText="1"/>
    </xf>
    <xf numFmtId="0" fontId="6" fillId="0" borderId="46" xfId="0" applyNumberFormat="1" applyFont="1" applyFill="1" applyBorder="1" applyAlignment="1">
      <alignment horizontal="left" vertical="center" wrapText="1"/>
    </xf>
    <xf numFmtId="0" fontId="6" fillId="0" borderId="20" xfId="0" quotePrefix="1" applyFont="1" applyFill="1" applyBorder="1" applyAlignment="1">
      <alignment horizontal="center" vertical="center" wrapText="1"/>
    </xf>
    <xf numFmtId="49" fontId="6" fillId="0" borderId="47" xfId="0" applyNumberFormat="1" applyFont="1" applyFill="1" applyBorder="1" applyAlignment="1">
      <alignment horizontal="center" vertical="center" wrapText="1"/>
    </xf>
    <xf numFmtId="49" fontId="6" fillId="0" borderId="21" xfId="0" applyNumberFormat="1" applyFont="1" applyFill="1" applyBorder="1" applyAlignment="1">
      <alignment horizontal="center" vertical="center" wrapText="1"/>
    </xf>
    <xf numFmtId="0" fontId="12" fillId="0" borderId="48" xfId="0" applyNumberFormat="1" applyFont="1" applyFill="1" applyBorder="1" applyAlignment="1">
      <alignment vertical="center" wrapText="1"/>
    </xf>
    <xf numFmtId="0" fontId="12" fillId="0" borderId="49" xfId="0" applyNumberFormat="1" applyFont="1" applyFill="1" applyBorder="1" applyAlignment="1">
      <alignment horizontal="left" vertical="center" wrapText="1"/>
    </xf>
    <xf numFmtId="177" fontId="11" fillId="0" borderId="50" xfId="0" applyNumberFormat="1" applyFont="1" applyFill="1" applyBorder="1" applyAlignment="1">
      <alignment horizontal="right" vertical="center" wrapText="1"/>
    </xf>
    <xf numFmtId="0" fontId="7" fillId="0" borderId="51" xfId="0" applyFont="1" applyFill="1" applyBorder="1" applyAlignment="1">
      <alignment vertical="center" wrapText="1"/>
    </xf>
    <xf numFmtId="0" fontId="7" fillId="0" borderId="49" xfId="0" applyFont="1" applyFill="1" applyBorder="1" applyAlignment="1">
      <alignment vertical="center" wrapText="1"/>
    </xf>
    <xf numFmtId="178" fontId="11" fillId="0" borderId="52" xfId="0" applyNumberFormat="1" applyFont="1" applyFill="1" applyBorder="1" applyAlignment="1">
      <alignment horizontal="left" vertical="center" wrapText="1"/>
    </xf>
    <xf numFmtId="0" fontId="11" fillId="0" borderId="48" xfId="0" applyFont="1" applyFill="1" applyBorder="1" applyAlignment="1">
      <alignment vertical="center" wrapText="1"/>
    </xf>
    <xf numFmtId="0" fontId="7" fillId="0" borderId="48" xfId="0" applyFont="1" applyFill="1" applyBorder="1" applyAlignment="1">
      <alignment vertical="center" wrapText="1"/>
    </xf>
    <xf numFmtId="0" fontId="7" fillId="0" borderId="52" xfId="0" applyFont="1" applyFill="1" applyBorder="1" applyAlignment="1">
      <alignment vertical="center" wrapText="1"/>
    </xf>
    <xf numFmtId="0" fontId="12" fillId="0" borderId="51" xfId="0" applyNumberFormat="1" applyFont="1" applyFill="1" applyBorder="1" applyAlignment="1">
      <alignment vertical="center" wrapText="1"/>
    </xf>
    <xf numFmtId="0" fontId="11" fillId="0" borderId="28" xfId="0" applyNumberFormat="1" applyFont="1" applyFill="1" applyBorder="1" applyAlignment="1">
      <alignment vertical="center" wrapText="1"/>
    </xf>
    <xf numFmtId="0" fontId="12" fillId="0" borderId="48" xfId="0" applyFont="1" applyFill="1" applyBorder="1" applyAlignment="1">
      <alignment vertical="center" wrapText="1"/>
    </xf>
    <xf numFmtId="0" fontId="12" fillId="0" borderId="52" xfId="0" applyNumberFormat="1" applyFont="1" applyFill="1" applyBorder="1" applyAlignment="1">
      <alignment horizontal="left" vertical="center" wrapText="1"/>
    </xf>
    <xf numFmtId="177" fontId="11" fillId="0" borderId="53" xfId="0" applyNumberFormat="1" applyFont="1" applyFill="1" applyBorder="1" applyAlignment="1">
      <alignment horizontal="right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77" fontId="11" fillId="0" borderId="32" xfId="0" applyNumberFormat="1" applyFont="1" applyFill="1" applyBorder="1" applyAlignment="1">
      <alignment horizontal="right" vertical="center" wrapText="1"/>
    </xf>
    <xf numFmtId="0" fontId="6" fillId="0" borderId="14" xfId="0" applyFont="1" applyFill="1" applyBorder="1" applyAlignment="1">
      <alignment vertical="center" wrapText="1"/>
    </xf>
    <xf numFmtId="0" fontId="6" fillId="0" borderId="24" xfId="0" applyFont="1" applyFill="1" applyBorder="1" applyAlignment="1">
      <alignment vertical="center" wrapText="1"/>
    </xf>
    <xf numFmtId="0" fontId="7" fillId="0" borderId="31" xfId="0" applyFont="1" applyFill="1" applyBorder="1" applyAlignment="1">
      <alignment horizontal="left" vertical="center" wrapText="1"/>
    </xf>
    <xf numFmtId="177" fontId="7" fillId="0" borderId="32" xfId="0" applyNumberFormat="1" applyFont="1" applyFill="1" applyBorder="1" applyAlignment="1">
      <alignment horizontal="right" vertical="center" wrapText="1"/>
    </xf>
    <xf numFmtId="178" fontId="11" fillId="0" borderId="21" xfId="0" applyNumberFormat="1" applyFont="1" applyFill="1" applyBorder="1" applyAlignment="1">
      <alignment horizontal="left" vertical="center" wrapText="1"/>
    </xf>
    <xf numFmtId="0" fontId="12" fillId="0" borderId="54" xfId="0" applyNumberFormat="1" applyFont="1" applyFill="1" applyBorder="1" applyAlignment="1">
      <alignment vertical="center" wrapText="1"/>
    </xf>
    <xf numFmtId="0" fontId="7" fillId="0" borderId="54" xfId="0" applyFont="1" applyFill="1" applyBorder="1" applyAlignment="1">
      <alignment vertical="center" wrapText="1"/>
    </xf>
    <xf numFmtId="0" fontId="7" fillId="0" borderId="39" xfId="0" applyFont="1" applyFill="1" applyBorder="1" applyAlignment="1">
      <alignment vertical="center" wrapText="1"/>
    </xf>
    <xf numFmtId="0" fontId="7" fillId="0" borderId="41" xfId="0" applyFont="1" applyFill="1" applyBorder="1" applyAlignment="1">
      <alignment vertical="center" wrapText="1"/>
    </xf>
    <xf numFmtId="178" fontId="12" fillId="0" borderId="31" xfId="0" applyNumberFormat="1" applyFont="1" applyFill="1" applyBorder="1" applyAlignment="1">
      <alignment horizontal="left" vertical="center" wrapText="1"/>
    </xf>
    <xf numFmtId="0" fontId="6" fillId="0" borderId="45" xfId="0" applyFont="1" applyFill="1" applyBorder="1" applyAlignment="1">
      <alignment horizontal="center" vertical="center" wrapText="1"/>
    </xf>
    <xf numFmtId="178" fontId="12" fillId="0" borderId="42" xfId="0" applyNumberFormat="1" applyFont="1" applyFill="1" applyBorder="1" applyAlignment="1">
      <alignment horizontal="left" vertical="center" wrapText="1"/>
    </xf>
    <xf numFmtId="0" fontId="12" fillId="0" borderId="43" xfId="0" applyFont="1" applyFill="1" applyBorder="1" applyAlignment="1">
      <alignment vertical="center" wrapText="1"/>
    </xf>
    <xf numFmtId="0" fontId="6" fillId="0" borderId="8" xfId="0" applyNumberFormat="1" applyFont="1" applyFill="1" applyBorder="1" applyAlignment="1">
      <alignment horizontal="left" vertical="center" wrapText="1"/>
    </xf>
    <xf numFmtId="178" fontId="11" fillId="0" borderId="37" xfId="0" applyNumberFormat="1" applyFont="1" applyFill="1" applyBorder="1" applyAlignment="1">
      <alignment horizontal="left" vertical="center" wrapText="1"/>
    </xf>
    <xf numFmtId="0" fontId="11" fillId="0" borderId="36" xfId="0" applyFont="1" applyFill="1" applyBorder="1" applyAlignment="1">
      <alignment vertical="center" wrapText="1"/>
    </xf>
    <xf numFmtId="0" fontId="7" fillId="0" borderId="55" xfId="0" applyFont="1" applyFill="1" applyBorder="1" applyAlignment="1">
      <alignment vertical="center" wrapText="1"/>
    </xf>
    <xf numFmtId="0" fontId="7" fillId="0" borderId="56" xfId="0" applyFont="1" applyFill="1" applyBorder="1" applyAlignment="1">
      <alignment vertical="center" wrapText="1"/>
    </xf>
    <xf numFmtId="177" fontId="12" fillId="0" borderId="27" xfId="0" applyNumberFormat="1" applyFont="1" applyFill="1" applyBorder="1" applyAlignment="1">
      <alignment horizontal="right" vertical="center" wrapText="1"/>
    </xf>
    <xf numFmtId="0" fontId="7" fillId="0" borderId="27" xfId="0" applyFont="1" applyFill="1" applyBorder="1" applyAlignment="1">
      <alignment vertical="center" wrapText="1"/>
    </xf>
    <xf numFmtId="177" fontId="11" fillId="0" borderId="38" xfId="0" applyNumberFormat="1" applyFont="1" applyFill="1" applyBorder="1" applyAlignment="1">
      <alignment horizontal="right" vertical="center" wrapText="1"/>
    </xf>
    <xf numFmtId="178" fontId="11" fillId="0" borderId="56" xfId="0" applyNumberFormat="1" applyFont="1" applyFill="1" applyBorder="1" applyAlignment="1">
      <alignment horizontal="left" vertical="center" wrapText="1"/>
    </xf>
    <xf numFmtId="0" fontId="11" fillId="0" borderId="55" xfId="0" applyFont="1" applyFill="1" applyBorder="1" applyAlignment="1">
      <alignment vertical="center" wrapText="1"/>
    </xf>
    <xf numFmtId="0" fontId="12" fillId="0" borderId="56" xfId="0" applyNumberFormat="1" applyFont="1" applyFill="1" applyBorder="1" applyAlignment="1">
      <alignment horizontal="center" vertical="center" wrapText="1"/>
    </xf>
    <xf numFmtId="0" fontId="12" fillId="0" borderId="55" xfId="0" applyNumberFormat="1" applyFont="1" applyFill="1" applyBorder="1" applyAlignment="1">
      <alignment horizontal="center" vertical="center" wrapText="1"/>
    </xf>
    <xf numFmtId="177" fontId="12" fillId="0" borderId="57" xfId="0" applyNumberFormat="1" applyFont="1" applyFill="1" applyBorder="1" applyAlignment="1">
      <alignment horizontal="right" vertical="center" wrapText="1"/>
    </xf>
    <xf numFmtId="0" fontId="7" fillId="0" borderId="57" xfId="0" applyFont="1" applyFill="1" applyBorder="1" applyAlignment="1">
      <alignment vertical="center" wrapText="1"/>
    </xf>
    <xf numFmtId="177" fontId="12" fillId="0" borderId="53" xfId="0" applyNumberFormat="1" applyFont="1" applyFill="1" applyBorder="1" applyAlignment="1">
      <alignment horizontal="right" vertical="center" wrapText="1"/>
    </xf>
    <xf numFmtId="0" fontId="7" fillId="0" borderId="53" xfId="0" applyFont="1" applyFill="1" applyBorder="1" applyAlignment="1">
      <alignment vertical="center" wrapText="1"/>
    </xf>
    <xf numFmtId="0" fontId="11" fillId="0" borderId="21" xfId="0" applyNumberFormat="1" applyFont="1" applyFill="1" applyBorder="1" applyAlignment="1">
      <alignment horizontal="left" vertical="center" wrapText="1"/>
    </xf>
    <xf numFmtId="0" fontId="12" fillId="0" borderId="29" xfId="0" applyNumberFormat="1" applyFont="1" applyFill="1" applyBorder="1" applyAlignment="1">
      <alignment horizontal="center" vertical="center" wrapText="1"/>
    </xf>
    <xf numFmtId="0" fontId="12" fillId="0" borderId="28" xfId="0" applyNumberFormat="1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NumberFormat="1" applyFont="1" applyFill="1" applyBorder="1" applyAlignment="1">
      <alignment horizontal="left" vertical="top" wrapText="1"/>
    </xf>
    <xf numFmtId="0" fontId="6" fillId="0" borderId="5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/>
    </xf>
    <xf numFmtId="0" fontId="6" fillId="0" borderId="46" xfId="0" applyNumberFormat="1" applyFont="1" applyFill="1" applyBorder="1" applyAlignment="1">
      <alignment horizontal="left" vertical="top" wrapText="1"/>
    </xf>
    <xf numFmtId="0" fontId="6" fillId="0" borderId="24" xfId="0" quotePrefix="1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vertical="center" wrapText="1"/>
    </xf>
    <xf numFmtId="0" fontId="6" fillId="0" borderId="49" xfId="0" applyFont="1" applyFill="1" applyBorder="1" applyAlignment="1">
      <alignment vertical="center" wrapText="1"/>
    </xf>
    <xf numFmtId="0" fontId="6" fillId="0" borderId="58" xfId="0" applyFont="1" applyFill="1" applyBorder="1" applyAlignment="1">
      <alignment vertical="center" wrapText="1"/>
    </xf>
    <xf numFmtId="0" fontId="6" fillId="0" borderId="59" xfId="0" applyFont="1" applyFill="1" applyBorder="1" applyAlignment="1">
      <alignment horizontal="center" vertical="center" wrapText="1"/>
    </xf>
    <xf numFmtId="177" fontId="12" fillId="0" borderId="50" xfId="0" applyNumberFormat="1" applyFont="1" applyFill="1" applyBorder="1" applyAlignment="1">
      <alignment horizontal="right" vertical="center" wrapText="1"/>
    </xf>
    <xf numFmtId="0" fontId="7" fillId="0" borderId="50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11" fillId="0" borderId="43" xfId="0" applyFont="1" applyFill="1" applyBorder="1" applyAlignment="1">
      <alignment horizontal="center" vertical="center" wrapText="1"/>
    </xf>
    <xf numFmtId="177" fontId="11" fillId="0" borderId="44" xfId="0" applyNumberFormat="1" applyFont="1" applyFill="1" applyBorder="1" applyAlignment="1">
      <alignment horizontal="right" vertical="center" wrapText="1"/>
    </xf>
    <xf numFmtId="178" fontId="11" fillId="0" borderId="42" xfId="0" applyNumberFormat="1" applyFont="1" applyFill="1" applyBorder="1" applyAlignment="1">
      <alignment horizontal="left" vertical="center" wrapText="1"/>
    </xf>
    <xf numFmtId="0" fontId="11" fillId="0" borderId="43" xfId="0" applyFont="1" applyFill="1" applyBorder="1" applyAlignment="1">
      <alignment vertical="center" wrapText="1"/>
    </xf>
    <xf numFmtId="178" fontId="11" fillId="0" borderId="39" xfId="0" applyNumberFormat="1" applyFont="1" applyFill="1" applyBorder="1" applyAlignment="1">
      <alignment horizontal="left" vertical="center" wrapText="1"/>
    </xf>
    <xf numFmtId="0" fontId="11" fillId="0" borderId="54" xfId="0" applyFont="1" applyFill="1" applyBorder="1" applyAlignment="1">
      <alignment vertical="center" wrapText="1"/>
    </xf>
    <xf numFmtId="0" fontId="12" fillId="0" borderId="60" xfId="0" applyNumberFormat="1" applyFont="1" applyFill="1" applyBorder="1" applyAlignment="1">
      <alignment horizontal="left" vertical="center" wrapText="1"/>
    </xf>
    <xf numFmtId="0" fontId="12" fillId="0" borderId="61" xfId="0" applyNumberFormat="1" applyFont="1" applyFill="1" applyBorder="1" applyAlignment="1">
      <alignment vertical="center" wrapText="1"/>
    </xf>
    <xf numFmtId="177" fontId="12" fillId="0" borderId="62" xfId="0" applyNumberFormat="1" applyFont="1" applyFill="1" applyBorder="1" applyAlignment="1">
      <alignment horizontal="right" vertical="center" wrapText="1"/>
    </xf>
    <xf numFmtId="0" fontId="7" fillId="0" borderId="61" xfId="0" applyFont="1" applyFill="1" applyBorder="1" applyAlignment="1">
      <alignment vertical="center" wrapText="1"/>
    </xf>
    <xf numFmtId="0" fontId="7" fillId="0" borderId="60" xfId="0" applyFont="1" applyFill="1" applyBorder="1" applyAlignment="1">
      <alignment vertical="center" wrapText="1"/>
    </xf>
    <xf numFmtId="0" fontId="7" fillId="0" borderId="62" xfId="0" applyFont="1" applyFill="1" applyBorder="1" applyAlignment="1">
      <alignment vertical="center" wrapText="1"/>
    </xf>
    <xf numFmtId="0" fontId="6" fillId="0" borderId="63" xfId="0" applyFont="1" applyFill="1" applyBorder="1" applyAlignment="1">
      <alignment horizontal="center" vertical="center" wrapText="1"/>
    </xf>
    <xf numFmtId="0" fontId="11" fillId="0" borderId="36" xfId="0" applyNumberFormat="1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12" fillId="0" borderId="52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36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vertical="center" wrapText="1"/>
    </xf>
    <xf numFmtId="178" fontId="12" fillId="0" borderId="29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64" xfId="0" applyNumberFormat="1" applyFont="1" applyFill="1" applyBorder="1" applyAlignment="1">
      <alignment horizontal="left" vertical="center" wrapText="1"/>
    </xf>
    <xf numFmtId="0" fontId="6" fillId="0" borderId="65" xfId="0" applyFont="1" applyFill="1" applyBorder="1" applyAlignment="1">
      <alignment horizontal="center" vertical="center" wrapText="1"/>
    </xf>
    <xf numFmtId="0" fontId="6" fillId="0" borderId="66" xfId="0" applyNumberFormat="1" applyFont="1" applyFill="1" applyBorder="1" applyAlignment="1">
      <alignment horizontal="left" vertical="top" wrapText="1"/>
    </xf>
    <xf numFmtId="0" fontId="12" fillId="0" borderId="67" xfId="0" applyNumberFormat="1" applyFont="1" applyFill="1" applyBorder="1" applyAlignment="1">
      <alignment horizontal="left" vertical="center" wrapText="1"/>
    </xf>
    <xf numFmtId="0" fontId="12" fillId="0" borderId="68" xfId="0" applyNumberFormat="1" applyFont="1" applyFill="1" applyBorder="1" applyAlignment="1">
      <alignment vertical="center" wrapText="1"/>
    </xf>
    <xf numFmtId="177" fontId="12" fillId="0" borderId="69" xfId="0" applyNumberFormat="1" applyFont="1" applyFill="1" applyBorder="1" applyAlignment="1">
      <alignment horizontal="right" vertical="center" wrapText="1"/>
    </xf>
    <xf numFmtId="178" fontId="12" fillId="0" borderId="37" xfId="0" applyNumberFormat="1" applyFont="1" applyFill="1" applyBorder="1" applyAlignment="1">
      <alignment horizontal="left" vertical="center" wrapText="1"/>
    </xf>
    <xf numFmtId="0" fontId="6" fillId="0" borderId="70" xfId="0" applyFont="1" applyFill="1" applyBorder="1" applyAlignment="1">
      <alignment horizontal="center" vertical="center" wrapText="1"/>
    </xf>
    <xf numFmtId="0" fontId="6" fillId="0" borderId="71" xfId="0" applyNumberFormat="1" applyFont="1" applyFill="1" applyBorder="1" applyAlignment="1">
      <alignment horizontal="left" vertical="top" wrapText="1"/>
    </xf>
    <xf numFmtId="0" fontId="6" fillId="0" borderId="63" xfId="0" applyFont="1" applyFill="1" applyBorder="1" applyAlignment="1">
      <alignment vertical="center" wrapText="1"/>
    </xf>
    <xf numFmtId="177" fontId="6" fillId="0" borderId="50" xfId="0" applyNumberFormat="1" applyFont="1" applyFill="1" applyBorder="1" applyAlignment="1">
      <alignment vertical="center" wrapText="1"/>
    </xf>
    <xf numFmtId="0" fontId="7" fillId="0" borderId="56" xfId="0" applyFont="1" applyFill="1" applyBorder="1" applyAlignment="1">
      <alignment horizontal="center" vertical="center" wrapText="1"/>
    </xf>
    <xf numFmtId="0" fontId="7" fillId="0" borderId="55" xfId="0" applyFont="1" applyFill="1" applyBorder="1" applyAlignment="1">
      <alignment horizontal="center" vertical="center" wrapText="1"/>
    </xf>
    <xf numFmtId="177" fontId="6" fillId="0" borderId="27" xfId="0" applyNumberFormat="1" applyFont="1" applyFill="1" applyBorder="1" applyAlignment="1">
      <alignment horizontal="right" vertical="center" wrapText="1"/>
    </xf>
    <xf numFmtId="0" fontId="11" fillId="0" borderId="37" xfId="0" applyNumberFormat="1" applyFont="1" applyFill="1" applyBorder="1" applyAlignment="1">
      <alignment horizontal="left" vertical="center" wrapText="1"/>
    </xf>
    <xf numFmtId="0" fontId="11" fillId="0" borderId="29" xfId="0" applyNumberFormat="1" applyFont="1" applyFill="1" applyBorder="1" applyAlignment="1">
      <alignment horizontal="left" vertical="center" wrapText="1"/>
    </xf>
    <xf numFmtId="0" fontId="12" fillId="0" borderId="56" xfId="0" applyNumberFormat="1" applyFont="1" applyFill="1" applyBorder="1" applyAlignment="1">
      <alignment horizontal="left" vertical="center" wrapText="1"/>
    </xf>
    <xf numFmtId="0" fontId="12" fillId="0" borderId="55" xfId="0" applyNumberFormat="1" applyFont="1" applyFill="1" applyBorder="1" applyAlignment="1">
      <alignment vertical="center" wrapText="1"/>
    </xf>
    <xf numFmtId="0" fontId="12" fillId="0" borderId="72" xfId="0" applyNumberFormat="1" applyFont="1" applyFill="1" applyBorder="1" applyAlignment="1">
      <alignment horizontal="left" vertical="center" wrapText="1"/>
    </xf>
    <xf numFmtId="177" fontId="11" fillId="0" borderId="73" xfId="0" applyNumberFormat="1" applyFont="1" applyFill="1" applyBorder="1" applyAlignment="1">
      <alignment horizontal="right" vertical="center" wrapText="1"/>
    </xf>
    <xf numFmtId="0" fontId="12" fillId="0" borderId="74" xfId="0" applyNumberFormat="1" applyFont="1" applyFill="1" applyBorder="1" applyAlignment="1">
      <alignment vertical="center" wrapText="1"/>
    </xf>
    <xf numFmtId="0" fontId="7" fillId="0" borderId="74" xfId="0" applyFont="1" applyFill="1" applyBorder="1" applyAlignment="1">
      <alignment vertical="center" wrapText="1"/>
    </xf>
    <xf numFmtId="0" fontId="7" fillId="0" borderId="72" xfId="0" applyFont="1" applyFill="1" applyBorder="1" applyAlignment="1">
      <alignment vertical="center" wrapText="1"/>
    </xf>
    <xf numFmtId="0" fontId="6" fillId="0" borderId="46" xfId="0" applyFont="1" applyFill="1" applyBorder="1" applyAlignment="1">
      <alignment horizontal="center" vertical="center" wrapText="1"/>
    </xf>
    <xf numFmtId="0" fontId="11" fillId="0" borderId="56" xfId="0" applyNumberFormat="1" applyFont="1" applyFill="1" applyBorder="1" applyAlignment="1">
      <alignment horizontal="left" vertical="center" wrapText="1"/>
    </xf>
    <xf numFmtId="0" fontId="11" fillId="0" borderId="55" xfId="0" applyNumberFormat="1" applyFont="1" applyFill="1" applyBorder="1" applyAlignment="1">
      <alignment vertical="center" wrapText="1"/>
    </xf>
    <xf numFmtId="0" fontId="7" fillId="0" borderId="58" xfId="0" applyFont="1" applyFill="1" applyBorder="1" applyAlignment="1">
      <alignment vertical="center" wrapText="1"/>
    </xf>
    <xf numFmtId="0" fontId="7" fillId="0" borderId="42" xfId="0" applyFont="1" applyFill="1" applyBorder="1" applyAlignment="1">
      <alignment horizontal="left" vertical="center" wrapText="1"/>
    </xf>
    <xf numFmtId="0" fontId="7" fillId="0" borderId="43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177" fontId="7" fillId="0" borderId="44" xfId="0" applyNumberFormat="1" applyFont="1" applyFill="1" applyBorder="1" applyAlignment="1">
      <alignment horizontal="right" vertical="center" wrapText="1"/>
    </xf>
    <xf numFmtId="0" fontId="7" fillId="0" borderId="37" xfId="0" applyFont="1" applyFill="1" applyBorder="1" applyAlignment="1">
      <alignment horizontal="left" vertical="center" wrapText="1"/>
    </xf>
    <xf numFmtId="0" fontId="7" fillId="0" borderId="29" xfId="0" applyFont="1" applyFill="1" applyBorder="1" applyAlignment="1">
      <alignment horizontal="left" vertical="center" wrapText="1"/>
    </xf>
    <xf numFmtId="0" fontId="7" fillId="0" borderId="43" xfId="0" applyFont="1" applyFill="1" applyBorder="1" applyAlignment="1">
      <alignment horizontal="left" vertical="center" wrapText="1"/>
    </xf>
    <xf numFmtId="0" fontId="12" fillId="0" borderId="31" xfId="2" applyFont="1" applyFill="1" applyBorder="1" applyAlignment="1">
      <alignment horizontal="left" vertical="center" wrapText="1"/>
    </xf>
    <xf numFmtId="177" fontId="12" fillId="0" borderId="32" xfId="2" applyNumberFormat="1" applyFont="1" applyFill="1" applyBorder="1" applyAlignment="1">
      <alignment horizontal="right"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5" xfId="0" applyFont="1" applyFill="1" applyBorder="1" applyAlignment="1">
      <alignment horizontal="center" vertical="center" wrapText="1"/>
    </xf>
    <xf numFmtId="49" fontId="6" fillId="0" borderId="63" xfId="0" applyNumberFormat="1" applyFont="1" applyFill="1" applyBorder="1" applyAlignment="1">
      <alignment horizontal="center" vertical="center" wrapText="1"/>
    </xf>
    <xf numFmtId="0" fontId="12" fillId="0" borderId="75" xfId="0" applyNumberFormat="1" applyFont="1" applyFill="1" applyBorder="1" applyAlignment="1">
      <alignment vertical="center" wrapText="1"/>
    </xf>
    <xf numFmtId="0" fontId="12" fillId="0" borderId="76" xfId="0" applyNumberFormat="1" applyFont="1" applyFill="1" applyBorder="1" applyAlignment="1">
      <alignment vertical="center" wrapText="1"/>
    </xf>
    <xf numFmtId="0" fontId="12" fillId="0" borderId="77" xfId="0" applyNumberFormat="1" applyFont="1" applyFill="1" applyBorder="1" applyAlignment="1">
      <alignment vertical="center" wrapText="1"/>
    </xf>
    <xf numFmtId="0" fontId="12" fillId="0" borderId="78" xfId="0" applyNumberFormat="1" applyFont="1" applyFill="1" applyBorder="1" applyAlignment="1">
      <alignment vertical="center" wrapText="1"/>
    </xf>
    <xf numFmtId="0" fontId="12" fillId="0" borderId="79" xfId="0" applyNumberFormat="1" applyFont="1" applyFill="1" applyBorder="1" applyAlignment="1">
      <alignment vertical="center" wrapText="1"/>
    </xf>
    <xf numFmtId="0" fontId="11" fillId="0" borderId="48" xfId="0" applyNumberFormat="1" applyFont="1" applyFill="1" applyBorder="1" applyAlignment="1">
      <alignment vertical="center" wrapText="1"/>
    </xf>
    <xf numFmtId="0" fontId="11" fillId="0" borderId="29" xfId="0" applyNumberFormat="1" applyFont="1" applyFill="1" applyBorder="1" applyAlignment="1">
      <alignment horizontal="center" vertical="center" wrapText="1"/>
    </xf>
    <xf numFmtId="0" fontId="11" fillId="0" borderId="28" xfId="0" applyNumberFormat="1" applyFont="1" applyFill="1" applyBorder="1" applyAlignment="1">
      <alignment horizontal="center" vertical="center" wrapText="1"/>
    </xf>
    <xf numFmtId="0" fontId="7" fillId="0" borderId="52" xfId="0" applyFont="1" applyFill="1" applyBorder="1" applyAlignment="1">
      <alignment horizontal="left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6" fillId="0" borderId="80" xfId="0" applyFont="1" applyFill="1" applyBorder="1" applyAlignment="1">
      <alignment horizontal="center" vertical="center" wrapText="1"/>
    </xf>
    <xf numFmtId="0" fontId="6" fillId="0" borderId="66" xfId="0" applyNumberFormat="1" applyFont="1" applyFill="1" applyBorder="1" applyAlignment="1">
      <alignment horizontal="left" vertical="center" wrapText="1"/>
    </xf>
    <xf numFmtId="178" fontId="12" fillId="0" borderId="39" xfId="0" applyNumberFormat="1" applyFont="1" applyFill="1" applyBorder="1" applyAlignment="1">
      <alignment horizontal="left" vertical="center" wrapText="1"/>
    </xf>
    <xf numFmtId="0" fontId="6" fillId="0" borderId="83" xfId="0" applyFont="1" applyFill="1" applyBorder="1" applyAlignment="1">
      <alignment horizontal="center" vertical="center" wrapText="1"/>
    </xf>
    <xf numFmtId="0" fontId="6" fillId="0" borderId="84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178" fontId="12" fillId="0" borderId="85" xfId="0" applyNumberFormat="1" applyFont="1" applyFill="1" applyBorder="1" applyAlignment="1">
      <alignment horizontal="left" vertical="center" wrapText="1"/>
    </xf>
    <xf numFmtId="0" fontId="12" fillId="0" borderId="86" xfId="0" applyNumberFormat="1" applyFont="1" applyFill="1" applyBorder="1" applyAlignment="1">
      <alignment vertical="center" wrapText="1"/>
    </xf>
    <xf numFmtId="177" fontId="12" fillId="0" borderId="87" xfId="0" applyNumberFormat="1" applyFont="1" applyFill="1" applyBorder="1" applyAlignment="1">
      <alignment horizontal="right" vertical="center" wrapText="1"/>
    </xf>
    <xf numFmtId="0" fontId="12" fillId="0" borderId="88" xfId="0" applyNumberFormat="1" applyFont="1" applyFill="1" applyBorder="1" applyAlignment="1">
      <alignment vertical="center" wrapText="1"/>
    </xf>
    <xf numFmtId="178" fontId="12" fillId="0" borderId="89" xfId="0" applyNumberFormat="1" applyFont="1" applyFill="1" applyBorder="1" applyAlignment="1">
      <alignment horizontal="left" vertical="center" wrapText="1"/>
    </xf>
    <xf numFmtId="0" fontId="7" fillId="0" borderId="88" xfId="0" applyFont="1" applyFill="1" applyBorder="1" applyAlignment="1">
      <alignment vertical="center" wrapText="1"/>
    </xf>
    <xf numFmtId="0" fontId="7" fillId="0" borderId="89" xfId="0" applyFont="1" applyFill="1" applyBorder="1" applyAlignment="1">
      <alignment vertical="center" wrapText="1"/>
    </xf>
    <xf numFmtId="0" fontId="7" fillId="0" borderId="87" xfId="0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horizontal="left" vertical="center"/>
    </xf>
    <xf numFmtId="49" fontId="6" fillId="0" borderId="5" xfId="4" applyNumberFormat="1" applyFont="1" applyFill="1" applyBorder="1" applyAlignment="1">
      <alignment horizontal="center" vertical="center" wrapText="1"/>
    </xf>
    <xf numFmtId="0" fontId="6" fillId="0" borderId="6" xfId="4" applyFont="1" applyFill="1" applyBorder="1" applyAlignment="1">
      <alignment horizontal="center" vertical="center" wrapText="1"/>
    </xf>
    <xf numFmtId="0" fontId="18" fillId="0" borderId="0" xfId="0" applyFont="1" applyFill="1" applyAlignment="1">
      <alignment vertical="center"/>
    </xf>
    <xf numFmtId="0" fontId="11" fillId="0" borderId="52" xfId="0" applyNumberFormat="1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178" fontId="12" fillId="0" borderId="81" xfId="0" applyNumberFormat="1" applyFont="1" applyFill="1" applyBorder="1" applyAlignment="1">
      <alignment horizontal="left" vertical="center" wrapText="1"/>
    </xf>
    <xf numFmtId="0" fontId="12" fillId="0" borderId="82" xfId="0" applyNumberFormat="1" applyFont="1" applyFill="1" applyBorder="1" applyAlignment="1">
      <alignment vertical="center" wrapText="1"/>
    </xf>
    <xf numFmtId="178" fontId="12" fillId="0" borderId="60" xfId="0" applyNumberFormat="1" applyFont="1" applyFill="1" applyBorder="1" applyAlignment="1">
      <alignment horizontal="left" vertical="center" wrapText="1"/>
    </xf>
    <xf numFmtId="177" fontId="6" fillId="0" borderId="53" xfId="0" applyNumberFormat="1" applyFont="1" applyFill="1" applyBorder="1" applyAlignment="1">
      <alignment vertical="center" wrapText="1"/>
    </xf>
    <xf numFmtId="179" fontId="11" fillId="0" borderId="22" xfId="0" applyNumberFormat="1" applyFont="1" applyFill="1" applyBorder="1" applyAlignment="1">
      <alignment vertical="center" wrapText="1"/>
    </xf>
    <xf numFmtId="0" fontId="12" fillId="0" borderId="90" xfId="0" applyNumberFormat="1" applyFont="1" applyFill="1" applyBorder="1" applyAlignment="1">
      <alignment vertical="center" wrapText="1"/>
    </xf>
    <xf numFmtId="0" fontId="12" fillId="0" borderId="91" xfId="0" applyNumberFormat="1" applyFont="1" applyFill="1" applyBorder="1" applyAlignment="1">
      <alignment vertical="center" wrapText="1"/>
    </xf>
    <xf numFmtId="0" fontId="12" fillId="0" borderId="92" xfId="0" applyNumberFormat="1" applyFont="1" applyFill="1" applyBorder="1" applyAlignment="1">
      <alignment vertical="center" wrapText="1"/>
    </xf>
    <xf numFmtId="178" fontId="12" fillId="0" borderId="33" xfId="0" applyNumberFormat="1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71" xfId="0" applyFont="1" applyFill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</cellXfs>
  <cellStyles count="8">
    <cellStyle name="쉼표 [0] 2" xfId="3"/>
    <cellStyle name="표준" xfId="0" builtinId="0"/>
    <cellStyle name="표준 2" xfId="4"/>
    <cellStyle name="표준 3" xfId="5"/>
    <cellStyle name="표준 4" xfId="6"/>
    <cellStyle name="표준 5" xfId="7"/>
    <cellStyle name="표준_3" xfId="1"/>
    <cellStyle name="표준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230"/>
  <sheetViews>
    <sheetView tabSelected="1" zoomScale="90" zoomScaleNormal="90" workbookViewId="0">
      <pane ySplit="5" topLeftCell="A6" activePane="bottomLeft" state="frozen"/>
      <selection activeCell="C1" sqref="C1"/>
      <selection pane="bottomLeft" activeCell="E1" sqref="E1"/>
    </sheetView>
  </sheetViews>
  <sheetFormatPr defaultRowHeight="13.5"/>
  <cols>
    <col min="1" max="1" width="4.21875" style="4" bestFit="1" customWidth="1"/>
    <col min="2" max="2" width="6.109375" style="4" bestFit="1" customWidth="1"/>
    <col min="3" max="3" width="5.5546875" style="4" bestFit="1" customWidth="1"/>
    <col min="4" max="4" width="18.5546875" style="4" customWidth="1"/>
    <col min="5" max="5" width="9.5546875" style="4" customWidth="1"/>
    <col min="6" max="6" width="15.109375" style="4" customWidth="1"/>
    <col min="7" max="7" width="8.44140625" style="4" customWidth="1"/>
    <col min="8" max="8" width="9.44140625" style="4" customWidth="1"/>
    <col min="9" max="9" width="15" style="4" customWidth="1"/>
    <col min="10" max="10" width="8.44140625" style="4" customWidth="1"/>
    <col min="11" max="11" width="9.44140625" style="4" customWidth="1"/>
    <col min="12" max="12" width="15" style="4" customWidth="1"/>
    <col min="13" max="13" width="8.44140625" style="4" customWidth="1"/>
    <col min="14" max="14" width="9.44140625" style="4" customWidth="1"/>
    <col min="15" max="15" width="15" style="4" customWidth="1"/>
    <col min="16" max="16" width="8.44140625" style="4" customWidth="1"/>
    <col min="17" max="17" width="0.109375" style="4" customWidth="1"/>
    <col min="18" max="18" width="16.109375" style="4" bestFit="1" customWidth="1"/>
    <col min="19" max="19" width="7" style="4" bestFit="1" customWidth="1"/>
    <col min="20" max="20" width="7.88671875" style="4" bestFit="1" customWidth="1"/>
    <col min="21" max="21" width="15.109375" style="4" bestFit="1" customWidth="1"/>
    <col min="22" max="22" width="6.33203125" style="4" bestFit="1" customWidth="1"/>
    <col min="23" max="23" width="5.6640625" style="4" bestFit="1" customWidth="1"/>
    <col min="24" max="24" width="15.109375" style="4" bestFit="1" customWidth="1"/>
    <col min="25" max="25" width="7.33203125" style="4" bestFit="1" customWidth="1"/>
    <col min="26" max="26" width="5.6640625" style="4" bestFit="1" customWidth="1"/>
    <col min="27" max="27" width="14.109375" style="4" customWidth="1"/>
    <col min="28" max="28" width="6.33203125" style="4" bestFit="1" customWidth="1"/>
    <col min="29" max="237" width="8.88671875" style="4"/>
    <col min="238" max="238" width="4.21875" style="4" bestFit="1" customWidth="1"/>
    <col min="239" max="239" width="6.109375" style="4" bestFit="1" customWidth="1"/>
    <col min="240" max="240" width="5.5546875" style="4" bestFit="1" customWidth="1"/>
    <col min="241" max="241" width="24.109375" style="4" bestFit="1" customWidth="1"/>
    <col min="242" max="242" width="6.33203125" style="4" bestFit="1" customWidth="1"/>
    <col min="243" max="243" width="15.109375" style="4" bestFit="1" customWidth="1"/>
    <col min="244" max="244" width="14.109375" style="4" bestFit="1" customWidth="1"/>
    <col min="245" max="245" width="6.33203125" style="4" bestFit="1" customWidth="1"/>
    <col min="246" max="246" width="15.109375" style="4" bestFit="1" customWidth="1"/>
    <col min="247" max="247" width="7.33203125" style="4" bestFit="1" customWidth="1"/>
    <col min="248" max="248" width="5.6640625" style="4" bestFit="1" customWidth="1"/>
    <col min="249" max="249" width="14.88671875" style="4" bestFit="1" customWidth="1"/>
    <col min="250" max="250" width="7.33203125" style="4" bestFit="1" customWidth="1"/>
    <col min="251" max="251" width="5.6640625" style="4" bestFit="1" customWidth="1"/>
    <col min="252" max="252" width="10.77734375" style="4" bestFit="1" customWidth="1"/>
    <col min="253" max="253" width="7.33203125" style="4" bestFit="1" customWidth="1"/>
    <col min="254" max="254" width="5.33203125" style="4" customWidth="1"/>
    <col min="255" max="255" width="11" style="4" bestFit="1" customWidth="1"/>
    <col min="256" max="256" width="7.33203125" style="4" bestFit="1" customWidth="1"/>
    <col min="257" max="257" width="5.33203125" style="4" bestFit="1" customWidth="1"/>
    <col min="258" max="258" width="10.44140625" style="4" bestFit="1" customWidth="1"/>
    <col min="259" max="259" width="7.33203125" style="4" bestFit="1" customWidth="1"/>
    <col min="260" max="260" width="5.33203125" style="4" bestFit="1" customWidth="1"/>
    <col min="261" max="261" width="8" style="4" customWidth="1"/>
    <col min="262" max="262" width="7.33203125" style="4" bestFit="1" customWidth="1"/>
    <col min="263" max="493" width="8.88671875" style="4"/>
    <col min="494" max="494" width="4.21875" style="4" bestFit="1" customWidth="1"/>
    <col min="495" max="495" width="6.109375" style="4" bestFit="1" customWidth="1"/>
    <col min="496" max="496" width="5.5546875" style="4" bestFit="1" customWidth="1"/>
    <col min="497" max="497" width="24.109375" style="4" bestFit="1" customWidth="1"/>
    <col min="498" max="498" width="6.33203125" style="4" bestFit="1" customWidth="1"/>
    <col min="499" max="499" width="15.109375" style="4" bestFit="1" customWidth="1"/>
    <col min="500" max="500" width="14.109375" style="4" bestFit="1" customWidth="1"/>
    <col min="501" max="501" width="6.33203125" style="4" bestFit="1" customWidth="1"/>
    <col min="502" max="502" width="15.109375" style="4" bestFit="1" customWidth="1"/>
    <col min="503" max="503" width="7.33203125" style="4" bestFit="1" customWidth="1"/>
    <col min="504" max="504" width="5.6640625" style="4" bestFit="1" customWidth="1"/>
    <col min="505" max="505" width="14.88671875" style="4" bestFit="1" customWidth="1"/>
    <col min="506" max="506" width="7.33203125" style="4" bestFit="1" customWidth="1"/>
    <col min="507" max="507" width="5.6640625" style="4" bestFit="1" customWidth="1"/>
    <col min="508" max="508" width="10.77734375" style="4" bestFit="1" customWidth="1"/>
    <col min="509" max="509" width="7.33203125" style="4" bestFit="1" customWidth="1"/>
    <col min="510" max="510" width="5.33203125" style="4" customWidth="1"/>
    <col min="511" max="511" width="11" style="4" bestFit="1" customWidth="1"/>
    <col min="512" max="512" width="7.33203125" style="4" bestFit="1" customWidth="1"/>
    <col min="513" max="513" width="5.33203125" style="4" bestFit="1" customWidth="1"/>
    <col min="514" max="514" width="10.44140625" style="4" bestFit="1" customWidth="1"/>
    <col min="515" max="515" width="7.33203125" style="4" bestFit="1" customWidth="1"/>
    <col min="516" max="516" width="5.33203125" style="4" bestFit="1" customWidth="1"/>
    <col min="517" max="517" width="8" style="4" customWidth="1"/>
    <col min="518" max="518" width="7.33203125" style="4" bestFit="1" customWidth="1"/>
    <col min="519" max="749" width="8.88671875" style="4"/>
    <col min="750" max="750" width="4.21875" style="4" bestFit="1" customWidth="1"/>
    <col min="751" max="751" width="6.109375" style="4" bestFit="1" customWidth="1"/>
    <col min="752" max="752" width="5.5546875" style="4" bestFit="1" customWidth="1"/>
    <col min="753" max="753" width="24.109375" style="4" bestFit="1" customWidth="1"/>
    <col min="754" max="754" width="6.33203125" style="4" bestFit="1" customWidth="1"/>
    <col min="755" max="755" width="15.109375" style="4" bestFit="1" customWidth="1"/>
    <col min="756" max="756" width="14.109375" style="4" bestFit="1" customWidth="1"/>
    <col min="757" max="757" width="6.33203125" style="4" bestFit="1" customWidth="1"/>
    <col min="758" max="758" width="15.109375" style="4" bestFit="1" customWidth="1"/>
    <col min="759" max="759" width="7.33203125" style="4" bestFit="1" customWidth="1"/>
    <col min="760" max="760" width="5.6640625" style="4" bestFit="1" customWidth="1"/>
    <col min="761" max="761" width="14.88671875" style="4" bestFit="1" customWidth="1"/>
    <col min="762" max="762" width="7.33203125" style="4" bestFit="1" customWidth="1"/>
    <col min="763" max="763" width="5.6640625" style="4" bestFit="1" customWidth="1"/>
    <col min="764" max="764" width="10.77734375" style="4" bestFit="1" customWidth="1"/>
    <col min="765" max="765" width="7.33203125" style="4" bestFit="1" customWidth="1"/>
    <col min="766" max="766" width="5.33203125" style="4" customWidth="1"/>
    <col min="767" max="767" width="11" style="4" bestFit="1" customWidth="1"/>
    <col min="768" max="768" width="7.33203125" style="4" bestFit="1" customWidth="1"/>
    <col min="769" max="769" width="5.33203125" style="4" bestFit="1" customWidth="1"/>
    <col min="770" max="770" width="10.44140625" style="4" bestFit="1" customWidth="1"/>
    <col min="771" max="771" width="7.33203125" style="4" bestFit="1" customWidth="1"/>
    <col min="772" max="772" width="5.33203125" style="4" bestFit="1" customWidth="1"/>
    <col min="773" max="773" width="8" style="4" customWidth="1"/>
    <col min="774" max="774" width="7.33203125" style="4" bestFit="1" customWidth="1"/>
    <col min="775" max="1005" width="8.88671875" style="4"/>
    <col min="1006" max="1006" width="4.21875" style="4" bestFit="1" customWidth="1"/>
    <col min="1007" max="1007" width="6.109375" style="4" bestFit="1" customWidth="1"/>
    <col min="1008" max="1008" width="5.5546875" style="4" bestFit="1" customWidth="1"/>
    <col min="1009" max="1009" width="24.109375" style="4" bestFit="1" customWidth="1"/>
    <col min="1010" max="1010" width="6.33203125" style="4" bestFit="1" customWidth="1"/>
    <col min="1011" max="1011" width="15.109375" style="4" bestFit="1" customWidth="1"/>
    <col min="1012" max="1012" width="14.109375" style="4" bestFit="1" customWidth="1"/>
    <col min="1013" max="1013" width="6.33203125" style="4" bestFit="1" customWidth="1"/>
    <col min="1014" max="1014" width="15.109375" style="4" bestFit="1" customWidth="1"/>
    <col min="1015" max="1015" width="7.33203125" style="4" bestFit="1" customWidth="1"/>
    <col min="1016" max="1016" width="5.6640625" style="4" bestFit="1" customWidth="1"/>
    <col min="1017" max="1017" width="14.88671875" style="4" bestFit="1" customWidth="1"/>
    <col min="1018" max="1018" width="7.33203125" style="4" bestFit="1" customWidth="1"/>
    <col min="1019" max="1019" width="5.6640625" style="4" bestFit="1" customWidth="1"/>
    <col min="1020" max="1020" width="10.77734375" style="4" bestFit="1" customWidth="1"/>
    <col min="1021" max="1021" width="7.33203125" style="4" bestFit="1" customWidth="1"/>
    <col min="1022" max="1022" width="5.33203125" style="4" customWidth="1"/>
    <col min="1023" max="1023" width="11" style="4" bestFit="1" customWidth="1"/>
    <col min="1024" max="1024" width="7.33203125" style="4" bestFit="1" customWidth="1"/>
    <col min="1025" max="1025" width="5.33203125" style="4" bestFit="1" customWidth="1"/>
    <col min="1026" max="1026" width="10.44140625" style="4" bestFit="1" customWidth="1"/>
    <col min="1027" max="1027" width="7.33203125" style="4" bestFit="1" customWidth="1"/>
    <col min="1028" max="1028" width="5.33203125" style="4" bestFit="1" customWidth="1"/>
    <col min="1029" max="1029" width="8" style="4" customWidth="1"/>
    <col min="1030" max="1030" width="7.33203125" style="4" bestFit="1" customWidth="1"/>
    <col min="1031" max="1261" width="8.88671875" style="4"/>
    <col min="1262" max="1262" width="4.21875" style="4" bestFit="1" customWidth="1"/>
    <col min="1263" max="1263" width="6.109375" style="4" bestFit="1" customWidth="1"/>
    <col min="1264" max="1264" width="5.5546875" style="4" bestFit="1" customWidth="1"/>
    <col min="1265" max="1265" width="24.109375" style="4" bestFit="1" customWidth="1"/>
    <col min="1266" max="1266" width="6.33203125" style="4" bestFit="1" customWidth="1"/>
    <col min="1267" max="1267" width="15.109375" style="4" bestFit="1" customWidth="1"/>
    <col min="1268" max="1268" width="14.109375" style="4" bestFit="1" customWidth="1"/>
    <col min="1269" max="1269" width="6.33203125" style="4" bestFit="1" customWidth="1"/>
    <col min="1270" max="1270" width="15.109375" style="4" bestFit="1" customWidth="1"/>
    <col min="1271" max="1271" width="7.33203125" style="4" bestFit="1" customWidth="1"/>
    <col min="1272" max="1272" width="5.6640625" style="4" bestFit="1" customWidth="1"/>
    <col min="1273" max="1273" width="14.88671875" style="4" bestFit="1" customWidth="1"/>
    <col min="1274" max="1274" width="7.33203125" style="4" bestFit="1" customWidth="1"/>
    <col min="1275" max="1275" width="5.6640625" style="4" bestFit="1" customWidth="1"/>
    <col min="1276" max="1276" width="10.77734375" style="4" bestFit="1" customWidth="1"/>
    <col min="1277" max="1277" width="7.33203125" style="4" bestFit="1" customWidth="1"/>
    <col min="1278" max="1278" width="5.33203125" style="4" customWidth="1"/>
    <col min="1279" max="1279" width="11" style="4" bestFit="1" customWidth="1"/>
    <col min="1280" max="1280" width="7.33203125" style="4" bestFit="1" customWidth="1"/>
    <col min="1281" max="1281" width="5.33203125" style="4" bestFit="1" customWidth="1"/>
    <col min="1282" max="1282" width="10.44140625" style="4" bestFit="1" customWidth="1"/>
    <col min="1283" max="1283" width="7.33203125" style="4" bestFit="1" customWidth="1"/>
    <col min="1284" max="1284" width="5.33203125" style="4" bestFit="1" customWidth="1"/>
    <col min="1285" max="1285" width="8" style="4" customWidth="1"/>
    <col min="1286" max="1286" width="7.33203125" style="4" bestFit="1" customWidth="1"/>
    <col min="1287" max="1517" width="8.88671875" style="4"/>
    <col min="1518" max="1518" width="4.21875" style="4" bestFit="1" customWidth="1"/>
    <col min="1519" max="1519" width="6.109375" style="4" bestFit="1" customWidth="1"/>
    <col min="1520" max="1520" width="5.5546875" style="4" bestFit="1" customWidth="1"/>
    <col min="1521" max="1521" width="24.109375" style="4" bestFit="1" customWidth="1"/>
    <col min="1522" max="1522" width="6.33203125" style="4" bestFit="1" customWidth="1"/>
    <col min="1523" max="1523" width="15.109375" style="4" bestFit="1" customWidth="1"/>
    <col min="1524" max="1524" width="14.109375" style="4" bestFit="1" customWidth="1"/>
    <col min="1525" max="1525" width="6.33203125" style="4" bestFit="1" customWidth="1"/>
    <col min="1526" max="1526" width="15.109375" style="4" bestFit="1" customWidth="1"/>
    <col min="1527" max="1527" width="7.33203125" style="4" bestFit="1" customWidth="1"/>
    <col min="1528" max="1528" width="5.6640625" style="4" bestFit="1" customWidth="1"/>
    <col min="1529" max="1529" width="14.88671875" style="4" bestFit="1" customWidth="1"/>
    <col min="1530" max="1530" width="7.33203125" style="4" bestFit="1" customWidth="1"/>
    <col min="1531" max="1531" width="5.6640625" style="4" bestFit="1" customWidth="1"/>
    <col min="1532" max="1532" width="10.77734375" style="4" bestFit="1" customWidth="1"/>
    <col min="1533" max="1533" width="7.33203125" style="4" bestFit="1" customWidth="1"/>
    <col min="1534" max="1534" width="5.33203125" style="4" customWidth="1"/>
    <col min="1535" max="1535" width="11" style="4" bestFit="1" customWidth="1"/>
    <col min="1536" max="1536" width="7.33203125" style="4" bestFit="1" customWidth="1"/>
    <col min="1537" max="1537" width="5.33203125" style="4" bestFit="1" customWidth="1"/>
    <col min="1538" max="1538" width="10.44140625" style="4" bestFit="1" customWidth="1"/>
    <col min="1539" max="1539" width="7.33203125" style="4" bestFit="1" customWidth="1"/>
    <col min="1540" max="1540" width="5.33203125" style="4" bestFit="1" customWidth="1"/>
    <col min="1541" max="1541" width="8" style="4" customWidth="1"/>
    <col min="1542" max="1542" width="7.33203125" style="4" bestFit="1" customWidth="1"/>
    <col min="1543" max="1773" width="8.88671875" style="4"/>
    <col min="1774" max="1774" width="4.21875" style="4" bestFit="1" customWidth="1"/>
    <col min="1775" max="1775" width="6.109375" style="4" bestFit="1" customWidth="1"/>
    <col min="1776" max="1776" width="5.5546875" style="4" bestFit="1" customWidth="1"/>
    <col min="1777" max="1777" width="24.109375" style="4" bestFit="1" customWidth="1"/>
    <col min="1778" max="1778" width="6.33203125" style="4" bestFit="1" customWidth="1"/>
    <col min="1779" max="1779" width="15.109375" style="4" bestFit="1" customWidth="1"/>
    <col min="1780" max="1780" width="14.109375" style="4" bestFit="1" customWidth="1"/>
    <col min="1781" max="1781" width="6.33203125" style="4" bestFit="1" customWidth="1"/>
    <col min="1782" max="1782" width="15.109375" style="4" bestFit="1" customWidth="1"/>
    <col min="1783" max="1783" width="7.33203125" style="4" bestFit="1" customWidth="1"/>
    <col min="1784" max="1784" width="5.6640625" style="4" bestFit="1" customWidth="1"/>
    <col min="1785" max="1785" width="14.88671875" style="4" bestFit="1" customWidth="1"/>
    <col min="1786" max="1786" width="7.33203125" style="4" bestFit="1" customWidth="1"/>
    <col min="1787" max="1787" width="5.6640625" style="4" bestFit="1" customWidth="1"/>
    <col min="1788" max="1788" width="10.77734375" style="4" bestFit="1" customWidth="1"/>
    <col min="1789" max="1789" width="7.33203125" style="4" bestFit="1" customWidth="1"/>
    <col min="1790" max="1790" width="5.33203125" style="4" customWidth="1"/>
    <col min="1791" max="1791" width="11" style="4" bestFit="1" customWidth="1"/>
    <col min="1792" max="1792" width="7.33203125" style="4" bestFit="1" customWidth="1"/>
    <col min="1793" max="1793" width="5.33203125" style="4" bestFit="1" customWidth="1"/>
    <col min="1794" max="1794" width="10.44140625" style="4" bestFit="1" customWidth="1"/>
    <col min="1795" max="1795" width="7.33203125" style="4" bestFit="1" customWidth="1"/>
    <col min="1796" max="1796" width="5.33203125" style="4" bestFit="1" customWidth="1"/>
    <col min="1797" max="1797" width="8" style="4" customWidth="1"/>
    <col min="1798" max="1798" width="7.33203125" style="4" bestFit="1" customWidth="1"/>
    <col min="1799" max="2029" width="8.88671875" style="4"/>
    <col min="2030" max="2030" width="4.21875" style="4" bestFit="1" customWidth="1"/>
    <col min="2031" max="2031" width="6.109375" style="4" bestFit="1" customWidth="1"/>
    <col min="2032" max="2032" width="5.5546875" style="4" bestFit="1" customWidth="1"/>
    <col min="2033" max="2033" width="24.109375" style="4" bestFit="1" customWidth="1"/>
    <col min="2034" max="2034" width="6.33203125" style="4" bestFit="1" customWidth="1"/>
    <col min="2035" max="2035" width="15.109375" style="4" bestFit="1" customWidth="1"/>
    <col min="2036" max="2036" width="14.109375" style="4" bestFit="1" customWidth="1"/>
    <col min="2037" max="2037" width="6.33203125" style="4" bestFit="1" customWidth="1"/>
    <col min="2038" max="2038" width="15.109375" style="4" bestFit="1" customWidth="1"/>
    <col min="2039" max="2039" width="7.33203125" style="4" bestFit="1" customWidth="1"/>
    <col min="2040" max="2040" width="5.6640625" style="4" bestFit="1" customWidth="1"/>
    <col min="2041" max="2041" width="14.88671875" style="4" bestFit="1" customWidth="1"/>
    <col min="2042" max="2042" width="7.33203125" style="4" bestFit="1" customWidth="1"/>
    <col min="2043" max="2043" width="5.6640625" style="4" bestFit="1" customWidth="1"/>
    <col min="2044" max="2044" width="10.77734375" style="4" bestFit="1" customWidth="1"/>
    <col min="2045" max="2045" width="7.33203125" style="4" bestFit="1" customWidth="1"/>
    <col min="2046" max="2046" width="5.33203125" style="4" customWidth="1"/>
    <col min="2047" max="2047" width="11" style="4" bestFit="1" customWidth="1"/>
    <col min="2048" max="2048" width="7.33203125" style="4" bestFit="1" customWidth="1"/>
    <col min="2049" max="2049" width="5.33203125" style="4" bestFit="1" customWidth="1"/>
    <col min="2050" max="2050" width="10.44140625" style="4" bestFit="1" customWidth="1"/>
    <col min="2051" max="2051" width="7.33203125" style="4" bestFit="1" customWidth="1"/>
    <col min="2052" max="2052" width="5.33203125" style="4" bestFit="1" customWidth="1"/>
    <col min="2053" max="2053" width="8" style="4" customWidth="1"/>
    <col min="2054" max="2054" width="7.33203125" style="4" bestFit="1" customWidth="1"/>
    <col min="2055" max="2285" width="8.88671875" style="4"/>
    <col min="2286" max="2286" width="4.21875" style="4" bestFit="1" customWidth="1"/>
    <col min="2287" max="2287" width="6.109375" style="4" bestFit="1" customWidth="1"/>
    <col min="2288" max="2288" width="5.5546875" style="4" bestFit="1" customWidth="1"/>
    <col min="2289" max="2289" width="24.109375" style="4" bestFit="1" customWidth="1"/>
    <col min="2290" max="2290" width="6.33203125" style="4" bestFit="1" customWidth="1"/>
    <col min="2291" max="2291" width="15.109375" style="4" bestFit="1" customWidth="1"/>
    <col min="2292" max="2292" width="14.109375" style="4" bestFit="1" customWidth="1"/>
    <col min="2293" max="2293" width="6.33203125" style="4" bestFit="1" customWidth="1"/>
    <col min="2294" max="2294" width="15.109375" style="4" bestFit="1" customWidth="1"/>
    <col min="2295" max="2295" width="7.33203125" style="4" bestFit="1" customWidth="1"/>
    <col min="2296" max="2296" width="5.6640625" style="4" bestFit="1" customWidth="1"/>
    <col min="2297" max="2297" width="14.88671875" style="4" bestFit="1" customWidth="1"/>
    <col min="2298" max="2298" width="7.33203125" style="4" bestFit="1" customWidth="1"/>
    <col min="2299" max="2299" width="5.6640625" style="4" bestFit="1" customWidth="1"/>
    <col min="2300" max="2300" width="10.77734375" style="4" bestFit="1" customWidth="1"/>
    <col min="2301" max="2301" width="7.33203125" style="4" bestFit="1" customWidth="1"/>
    <col min="2302" max="2302" width="5.33203125" style="4" customWidth="1"/>
    <col min="2303" max="2303" width="11" style="4" bestFit="1" customWidth="1"/>
    <col min="2304" max="2304" width="7.33203125" style="4" bestFit="1" customWidth="1"/>
    <col min="2305" max="2305" width="5.33203125" style="4" bestFit="1" customWidth="1"/>
    <col min="2306" max="2306" width="10.44140625" style="4" bestFit="1" customWidth="1"/>
    <col min="2307" max="2307" width="7.33203125" style="4" bestFit="1" customWidth="1"/>
    <col min="2308" max="2308" width="5.33203125" style="4" bestFit="1" customWidth="1"/>
    <col min="2309" max="2309" width="8" style="4" customWidth="1"/>
    <col min="2310" max="2310" width="7.33203125" style="4" bestFit="1" customWidth="1"/>
    <col min="2311" max="2541" width="8.88671875" style="4"/>
    <col min="2542" max="2542" width="4.21875" style="4" bestFit="1" customWidth="1"/>
    <col min="2543" max="2543" width="6.109375" style="4" bestFit="1" customWidth="1"/>
    <col min="2544" max="2544" width="5.5546875" style="4" bestFit="1" customWidth="1"/>
    <col min="2545" max="2545" width="24.109375" style="4" bestFit="1" customWidth="1"/>
    <col min="2546" max="2546" width="6.33203125" style="4" bestFit="1" customWidth="1"/>
    <col min="2547" max="2547" width="15.109375" style="4" bestFit="1" customWidth="1"/>
    <col min="2548" max="2548" width="14.109375" style="4" bestFit="1" customWidth="1"/>
    <col min="2549" max="2549" width="6.33203125" style="4" bestFit="1" customWidth="1"/>
    <col min="2550" max="2550" width="15.109375" style="4" bestFit="1" customWidth="1"/>
    <col min="2551" max="2551" width="7.33203125" style="4" bestFit="1" customWidth="1"/>
    <col min="2552" max="2552" width="5.6640625" style="4" bestFit="1" customWidth="1"/>
    <col min="2553" max="2553" width="14.88671875" style="4" bestFit="1" customWidth="1"/>
    <col min="2554" max="2554" width="7.33203125" style="4" bestFit="1" customWidth="1"/>
    <col min="2555" max="2555" width="5.6640625" style="4" bestFit="1" customWidth="1"/>
    <col min="2556" max="2556" width="10.77734375" style="4" bestFit="1" customWidth="1"/>
    <col min="2557" max="2557" width="7.33203125" style="4" bestFit="1" customWidth="1"/>
    <col min="2558" max="2558" width="5.33203125" style="4" customWidth="1"/>
    <col min="2559" max="2559" width="11" style="4" bestFit="1" customWidth="1"/>
    <col min="2560" max="2560" width="7.33203125" style="4" bestFit="1" customWidth="1"/>
    <col min="2561" max="2561" width="5.33203125" style="4" bestFit="1" customWidth="1"/>
    <col min="2562" max="2562" width="10.44140625" style="4" bestFit="1" customWidth="1"/>
    <col min="2563" max="2563" width="7.33203125" style="4" bestFit="1" customWidth="1"/>
    <col min="2564" max="2564" width="5.33203125" style="4" bestFit="1" customWidth="1"/>
    <col min="2565" max="2565" width="8" style="4" customWidth="1"/>
    <col min="2566" max="2566" width="7.33203125" style="4" bestFit="1" customWidth="1"/>
    <col min="2567" max="2797" width="8.88671875" style="4"/>
    <col min="2798" max="2798" width="4.21875" style="4" bestFit="1" customWidth="1"/>
    <col min="2799" max="2799" width="6.109375" style="4" bestFit="1" customWidth="1"/>
    <col min="2800" max="2800" width="5.5546875" style="4" bestFit="1" customWidth="1"/>
    <col min="2801" max="2801" width="24.109375" style="4" bestFit="1" customWidth="1"/>
    <col min="2802" max="2802" width="6.33203125" style="4" bestFit="1" customWidth="1"/>
    <col min="2803" max="2803" width="15.109375" style="4" bestFit="1" customWidth="1"/>
    <col min="2804" max="2804" width="14.109375" style="4" bestFit="1" customWidth="1"/>
    <col min="2805" max="2805" width="6.33203125" style="4" bestFit="1" customWidth="1"/>
    <col min="2806" max="2806" width="15.109375" style="4" bestFit="1" customWidth="1"/>
    <col min="2807" max="2807" width="7.33203125" style="4" bestFit="1" customWidth="1"/>
    <col min="2808" max="2808" width="5.6640625" style="4" bestFit="1" customWidth="1"/>
    <col min="2809" max="2809" width="14.88671875" style="4" bestFit="1" customWidth="1"/>
    <col min="2810" max="2810" width="7.33203125" style="4" bestFit="1" customWidth="1"/>
    <col min="2811" max="2811" width="5.6640625" style="4" bestFit="1" customWidth="1"/>
    <col min="2812" max="2812" width="10.77734375" style="4" bestFit="1" customWidth="1"/>
    <col min="2813" max="2813" width="7.33203125" style="4" bestFit="1" customWidth="1"/>
    <col min="2814" max="2814" width="5.33203125" style="4" customWidth="1"/>
    <col min="2815" max="2815" width="11" style="4" bestFit="1" customWidth="1"/>
    <col min="2816" max="2816" width="7.33203125" style="4" bestFit="1" customWidth="1"/>
    <col min="2817" max="2817" width="5.33203125" style="4" bestFit="1" customWidth="1"/>
    <col min="2818" max="2818" width="10.44140625" style="4" bestFit="1" customWidth="1"/>
    <col min="2819" max="2819" width="7.33203125" style="4" bestFit="1" customWidth="1"/>
    <col min="2820" max="2820" width="5.33203125" style="4" bestFit="1" customWidth="1"/>
    <col min="2821" max="2821" width="8" style="4" customWidth="1"/>
    <col min="2822" max="2822" width="7.33203125" style="4" bestFit="1" customWidth="1"/>
    <col min="2823" max="3053" width="8.88671875" style="4"/>
    <col min="3054" max="3054" width="4.21875" style="4" bestFit="1" customWidth="1"/>
    <col min="3055" max="3055" width="6.109375" style="4" bestFit="1" customWidth="1"/>
    <col min="3056" max="3056" width="5.5546875" style="4" bestFit="1" customWidth="1"/>
    <col min="3057" max="3057" width="24.109375" style="4" bestFit="1" customWidth="1"/>
    <col min="3058" max="3058" width="6.33203125" style="4" bestFit="1" customWidth="1"/>
    <col min="3059" max="3059" width="15.109375" style="4" bestFit="1" customWidth="1"/>
    <col min="3060" max="3060" width="14.109375" style="4" bestFit="1" customWidth="1"/>
    <col min="3061" max="3061" width="6.33203125" style="4" bestFit="1" customWidth="1"/>
    <col min="3062" max="3062" width="15.109375" style="4" bestFit="1" customWidth="1"/>
    <col min="3063" max="3063" width="7.33203125" style="4" bestFit="1" customWidth="1"/>
    <col min="3064" max="3064" width="5.6640625" style="4" bestFit="1" customWidth="1"/>
    <col min="3065" max="3065" width="14.88671875" style="4" bestFit="1" customWidth="1"/>
    <col min="3066" max="3066" width="7.33203125" style="4" bestFit="1" customWidth="1"/>
    <col min="3067" max="3067" width="5.6640625" style="4" bestFit="1" customWidth="1"/>
    <col min="3068" max="3068" width="10.77734375" style="4" bestFit="1" customWidth="1"/>
    <col min="3069" max="3069" width="7.33203125" style="4" bestFit="1" customWidth="1"/>
    <col min="3070" max="3070" width="5.33203125" style="4" customWidth="1"/>
    <col min="3071" max="3071" width="11" style="4" bestFit="1" customWidth="1"/>
    <col min="3072" max="3072" width="7.33203125" style="4" bestFit="1" customWidth="1"/>
    <col min="3073" max="3073" width="5.33203125" style="4" bestFit="1" customWidth="1"/>
    <col min="3074" max="3074" width="10.44140625" style="4" bestFit="1" customWidth="1"/>
    <col min="3075" max="3075" width="7.33203125" style="4" bestFit="1" customWidth="1"/>
    <col min="3076" max="3076" width="5.33203125" style="4" bestFit="1" customWidth="1"/>
    <col min="3077" max="3077" width="8" style="4" customWidth="1"/>
    <col min="3078" max="3078" width="7.33203125" style="4" bestFit="1" customWidth="1"/>
    <col min="3079" max="3309" width="8.88671875" style="4"/>
    <col min="3310" max="3310" width="4.21875" style="4" bestFit="1" customWidth="1"/>
    <col min="3311" max="3311" width="6.109375" style="4" bestFit="1" customWidth="1"/>
    <col min="3312" max="3312" width="5.5546875" style="4" bestFit="1" customWidth="1"/>
    <col min="3313" max="3313" width="24.109375" style="4" bestFit="1" customWidth="1"/>
    <col min="3314" max="3314" width="6.33203125" style="4" bestFit="1" customWidth="1"/>
    <col min="3315" max="3315" width="15.109375" style="4" bestFit="1" customWidth="1"/>
    <col min="3316" max="3316" width="14.109375" style="4" bestFit="1" customWidth="1"/>
    <col min="3317" max="3317" width="6.33203125" style="4" bestFit="1" customWidth="1"/>
    <col min="3318" max="3318" width="15.109375" style="4" bestFit="1" customWidth="1"/>
    <col min="3319" max="3319" width="7.33203125" style="4" bestFit="1" customWidth="1"/>
    <col min="3320" max="3320" width="5.6640625" style="4" bestFit="1" customWidth="1"/>
    <col min="3321" max="3321" width="14.88671875" style="4" bestFit="1" customWidth="1"/>
    <col min="3322" max="3322" width="7.33203125" style="4" bestFit="1" customWidth="1"/>
    <col min="3323" max="3323" width="5.6640625" style="4" bestFit="1" customWidth="1"/>
    <col min="3324" max="3324" width="10.77734375" style="4" bestFit="1" customWidth="1"/>
    <col min="3325" max="3325" width="7.33203125" style="4" bestFit="1" customWidth="1"/>
    <col min="3326" max="3326" width="5.33203125" style="4" customWidth="1"/>
    <col min="3327" max="3327" width="11" style="4" bestFit="1" customWidth="1"/>
    <col min="3328" max="3328" width="7.33203125" style="4" bestFit="1" customWidth="1"/>
    <col min="3329" max="3329" width="5.33203125" style="4" bestFit="1" customWidth="1"/>
    <col min="3330" max="3330" width="10.44140625" style="4" bestFit="1" customWidth="1"/>
    <col min="3331" max="3331" width="7.33203125" style="4" bestFit="1" customWidth="1"/>
    <col min="3332" max="3332" width="5.33203125" style="4" bestFit="1" customWidth="1"/>
    <col min="3333" max="3333" width="8" style="4" customWidth="1"/>
    <col min="3334" max="3334" width="7.33203125" style="4" bestFit="1" customWidth="1"/>
    <col min="3335" max="3565" width="8.88671875" style="4"/>
    <col min="3566" max="3566" width="4.21875" style="4" bestFit="1" customWidth="1"/>
    <col min="3567" max="3567" width="6.109375" style="4" bestFit="1" customWidth="1"/>
    <col min="3568" max="3568" width="5.5546875" style="4" bestFit="1" customWidth="1"/>
    <col min="3569" max="3569" width="24.109375" style="4" bestFit="1" customWidth="1"/>
    <col min="3570" max="3570" width="6.33203125" style="4" bestFit="1" customWidth="1"/>
    <col min="3571" max="3571" width="15.109375" style="4" bestFit="1" customWidth="1"/>
    <col min="3572" max="3572" width="14.109375" style="4" bestFit="1" customWidth="1"/>
    <col min="3573" max="3573" width="6.33203125" style="4" bestFit="1" customWidth="1"/>
    <col min="3574" max="3574" width="15.109375" style="4" bestFit="1" customWidth="1"/>
    <col min="3575" max="3575" width="7.33203125" style="4" bestFit="1" customWidth="1"/>
    <col min="3576" max="3576" width="5.6640625" style="4" bestFit="1" customWidth="1"/>
    <col min="3577" max="3577" width="14.88671875" style="4" bestFit="1" customWidth="1"/>
    <col min="3578" max="3578" width="7.33203125" style="4" bestFit="1" customWidth="1"/>
    <col min="3579" max="3579" width="5.6640625" style="4" bestFit="1" customWidth="1"/>
    <col min="3580" max="3580" width="10.77734375" style="4" bestFit="1" customWidth="1"/>
    <col min="3581" max="3581" width="7.33203125" style="4" bestFit="1" customWidth="1"/>
    <col min="3582" max="3582" width="5.33203125" style="4" customWidth="1"/>
    <col min="3583" max="3583" width="11" style="4" bestFit="1" customWidth="1"/>
    <col min="3584" max="3584" width="7.33203125" style="4" bestFit="1" customWidth="1"/>
    <col min="3585" max="3585" width="5.33203125" style="4" bestFit="1" customWidth="1"/>
    <col min="3586" max="3586" width="10.44140625" style="4" bestFit="1" customWidth="1"/>
    <col min="3587" max="3587" width="7.33203125" style="4" bestFit="1" customWidth="1"/>
    <col min="3588" max="3588" width="5.33203125" style="4" bestFit="1" customWidth="1"/>
    <col min="3589" max="3589" width="8" style="4" customWidth="1"/>
    <col min="3590" max="3590" width="7.33203125" style="4" bestFit="1" customWidth="1"/>
    <col min="3591" max="3821" width="8.88671875" style="4"/>
    <col min="3822" max="3822" width="4.21875" style="4" bestFit="1" customWidth="1"/>
    <col min="3823" max="3823" width="6.109375" style="4" bestFit="1" customWidth="1"/>
    <col min="3824" max="3824" width="5.5546875" style="4" bestFit="1" customWidth="1"/>
    <col min="3825" max="3825" width="24.109375" style="4" bestFit="1" customWidth="1"/>
    <col min="3826" max="3826" width="6.33203125" style="4" bestFit="1" customWidth="1"/>
    <col min="3827" max="3827" width="15.109375" style="4" bestFit="1" customWidth="1"/>
    <col min="3828" max="3828" width="14.109375" style="4" bestFit="1" customWidth="1"/>
    <col min="3829" max="3829" width="6.33203125" style="4" bestFit="1" customWidth="1"/>
    <col min="3830" max="3830" width="15.109375" style="4" bestFit="1" customWidth="1"/>
    <col min="3831" max="3831" width="7.33203125" style="4" bestFit="1" customWidth="1"/>
    <col min="3832" max="3832" width="5.6640625" style="4" bestFit="1" customWidth="1"/>
    <col min="3833" max="3833" width="14.88671875" style="4" bestFit="1" customWidth="1"/>
    <col min="3834" max="3834" width="7.33203125" style="4" bestFit="1" customWidth="1"/>
    <col min="3835" max="3835" width="5.6640625" style="4" bestFit="1" customWidth="1"/>
    <col min="3836" max="3836" width="10.77734375" style="4" bestFit="1" customWidth="1"/>
    <col min="3837" max="3837" width="7.33203125" style="4" bestFit="1" customWidth="1"/>
    <col min="3838" max="3838" width="5.33203125" style="4" customWidth="1"/>
    <col min="3839" max="3839" width="11" style="4" bestFit="1" customWidth="1"/>
    <col min="3840" max="3840" width="7.33203125" style="4" bestFit="1" customWidth="1"/>
    <col min="3841" max="3841" width="5.33203125" style="4" bestFit="1" customWidth="1"/>
    <col min="3842" max="3842" width="10.44140625" style="4" bestFit="1" customWidth="1"/>
    <col min="3843" max="3843" width="7.33203125" style="4" bestFit="1" customWidth="1"/>
    <col min="3844" max="3844" width="5.33203125" style="4" bestFit="1" customWidth="1"/>
    <col min="3845" max="3845" width="8" style="4" customWidth="1"/>
    <col min="3846" max="3846" width="7.33203125" style="4" bestFit="1" customWidth="1"/>
    <col min="3847" max="4077" width="8.88671875" style="4"/>
    <col min="4078" max="4078" width="4.21875" style="4" bestFit="1" customWidth="1"/>
    <col min="4079" max="4079" width="6.109375" style="4" bestFit="1" customWidth="1"/>
    <col min="4080" max="4080" width="5.5546875" style="4" bestFit="1" customWidth="1"/>
    <col min="4081" max="4081" width="24.109375" style="4" bestFit="1" customWidth="1"/>
    <col min="4082" max="4082" width="6.33203125" style="4" bestFit="1" customWidth="1"/>
    <col min="4083" max="4083" width="15.109375" style="4" bestFit="1" customWidth="1"/>
    <col min="4084" max="4084" width="14.109375" style="4" bestFit="1" customWidth="1"/>
    <col min="4085" max="4085" width="6.33203125" style="4" bestFit="1" customWidth="1"/>
    <col min="4086" max="4086" width="15.109375" style="4" bestFit="1" customWidth="1"/>
    <col min="4087" max="4087" width="7.33203125" style="4" bestFit="1" customWidth="1"/>
    <col min="4088" max="4088" width="5.6640625" style="4" bestFit="1" customWidth="1"/>
    <col min="4089" max="4089" width="14.88671875" style="4" bestFit="1" customWidth="1"/>
    <col min="4090" max="4090" width="7.33203125" style="4" bestFit="1" customWidth="1"/>
    <col min="4091" max="4091" width="5.6640625" style="4" bestFit="1" customWidth="1"/>
    <col min="4092" max="4092" width="10.77734375" style="4" bestFit="1" customWidth="1"/>
    <col min="4093" max="4093" width="7.33203125" style="4" bestFit="1" customWidth="1"/>
    <col min="4094" max="4094" width="5.33203125" style="4" customWidth="1"/>
    <col min="4095" max="4095" width="11" style="4" bestFit="1" customWidth="1"/>
    <col min="4096" max="4096" width="7.33203125" style="4" bestFit="1" customWidth="1"/>
    <col min="4097" max="4097" width="5.33203125" style="4" bestFit="1" customWidth="1"/>
    <col min="4098" max="4098" width="10.44140625" style="4" bestFit="1" customWidth="1"/>
    <col min="4099" max="4099" width="7.33203125" style="4" bestFit="1" customWidth="1"/>
    <col min="4100" max="4100" width="5.33203125" style="4" bestFit="1" customWidth="1"/>
    <col min="4101" max="4101" width="8" style="4" customWidth="1"/>
    <col min="4102" max="4102" width="7.33203125" style="4" bestFit="1" customWidth="1"/>
    <col min="4103" max="4333" width="8.88671875" style="4"/>
    <col min="4334" max="4334" width="4.21875" style="4" bestFit="1" customWidth="1"/>
    <col min="4335" max="4335" width="6.109375" style="4" bestFit="1" customWidth="1"/>
    <col min="4336" max="4336" width="5.5546875" style="4" bestFit="1" customWidth="1"/>
    <col min="4337" max="4337" width="24.109375" style="4" bestFit="1" customWidth="1"/>
    <col min="4338" max="4338" width="6.33203125" style="4" bestFit="1" customWidth="1"/>
    <col min="4339" max="4339" width="15.109375" style="4" bestFit="1" customWidth="1"/>
    <col min="4340" max="4340" width="14.109375" style="4" bestFit="1" customWidth="1"/>
    <col min="4341" max="4341" width="6.33203125" style="4" bestFit="1" customWidth="1"/>
    <col min="4342" max="4342" width="15.109375" style="4" bestFit="1" customWidth="1"/>
    <col min="4343" max="4343" width="7.33203125" style="4" bestFit="1" customWidth="1"/>
    <col min="4344" max="4344" width="5.6640625" style="4" bestFit="1" customWidth="1"/>
    <col min="4345" max="4345" width="14.88671875" style="4" bestFit="1" customWidth="1"/>
    <col min="4346" max="4346" width="7.33203125" style="4" bestFit="1" customWidth="1"/>
    <col min="4347" max="4347" width="5.6640625" style="4" bestFit="1" customWidth="1"/>
    <col min="4348" max="4348" width="10.77734375" style="4" bestFit="1" customWidth="1"/>
    <col min="4349" max="4349" width="7.33203125" style="4" bestFit="1" customWidth="1"/>
    <col min="4350" max="4350" width="5.33203125" style="4" customWidth="1"/>
    <col min="4351" max="4351" width="11" style="4" bestFit="1" customWidth="1"/>
    <col min="4352" max="4352" width="7.33203125" style="4" bestFit="1" customWidth="1"/>
    <col min="4353" max="4353" width="5.33203125" style="4" bestFit="1" customWidth="1"/>
    <col min="4354" max="4354" width="10.44140625" style="4" bestFit="1" customWidth="1"/>
    <col min="4355" max="4355" width="7.33203125" style="4" bestFit="1" customWidth="1"/>
    <col min="4356" max="4356" width="5.33203125" style="4" bestFit="1" customWidth="1"/>
    <col min="4357" max="4357" width="8" style="4" customWidth="1"/>
    <col min="4358" max="4358" width="7.33203125" style="4" bestFit="1" customWidth="1"/>
    <col min="4359" max="4589" width="8.88671875" style="4"/>
    <col min="4590" max="4590" width="4.21875" style="4" bestFit="1" customWidth="1"/>
    <col min="4591" max="4591" width="6.109375" style="4" bestFit="1" customWidth="1"/>
    <col min="4592" max="4592" width="5.5546875" style="4" bestFit="1" customWidth="1"/>
    <col min="4593" max="4593" width="24.109375" style="4" bestFit="1" customWidth="1"/>
    <col min="4594" max="4594" width="6.33203125" style="4" bestFit="1" customWidth="1"/>
    <col min="4595" max="4595" width="15.109375" style="4" bestFit="1" customWidth="1"/>
    <col min="4596" max="4596" width="14.109375" style="4" bestFit="1" customWidth="1"/>
    <col min="4597" max="4597" width="6.33203125" style="4" bestFit="1" customWidth="1"/>
    <col min="4598" max="4598" width="15.109375" style="4" bestFit="1" customWidth="1"/>
    <col min="4599" max="4599" width="7.33203125" style="4" bestFit="1" customWidth="1"/>
    <col min="4600" max="4600" width="5.6640625" style="4" bestFit="1" customWidth="1"/>
    <col min="4601" max="4601" width="14.88671875" style="4" bestFit="1" customWidth="1"/>
    <col min="4602" max="4602" width="7.33203125" style="4" bestFit="1" customWidth="1"/>
    <col min="4603" max="4603" width="5.6640625" style="4" bestFit="1" customWidth="1"/>
    <col min="4604" max="4604" width="10.77734375" style="4" bestFit="1" customWidth="1"/>
    <col min="4605" max="4605" width="7.33203125" style="4" bestFit="1" customWidth="1"/>
    <col min="4606" max="4606" width="5.33203125" style="4" customWidth="1"/>
    <col min="4607" max="4607" width="11" style="4" bestFit="1" customWidth="1"/>
    <col min="4608" max="4608" width="7.33203125" style="4" bestFit="1" customWidth="1"/>
    <col min="4609" max="4609" width="5.33203125" style="4" bestFit="1" customWidth="1"/>
    <col min="4610" max="4610" width="10.44140625" style="4" bestFit="1" customWidth="1"/>
    <col min="4611" max="4611" width="7.33203125" style="4" bestFit="1" customWidth="1"/>
    <col min="4612" max="4612" width="5.33203125" style="4" bestFit="1" customWidth="1"/>
    <col min="4613" max="4613" width="8" style="4" customWidth="1"/>
    <col min="4614" max="4614" width="7.33203125" style="4" bestFit="1" customWidth="1"/>
    <col min="4615" max="4845" width="8.88671875" style="4"/>
    <col min="4846" max="4846" width="4.21875" style="4" bestFit="1" customWidth="1"/>
    <col min="4847" max="4847" width="6.109375" style="4" bestFit="1" customWidth="1"/>
    <col min="4848" max="4848" width="5.5546875" style="4" bestFit="1" customWidth="1"/>
    <col min="4849" max="4849" width="24.109375" style="4" bestFit="1" customWidth="1"/>
    <col min="4850" max="4850" width="6.33203125" style="4" bestFit="1" customWidth="1"/>
    <col min="4851" max="4851" width="15.109375" style="4" bestFit="1" customWidth="1"/>
    <col min="4852" max="4852" width="14.109375" style="4" bestFit="1" customWidth="1"/>
    <col min="4853" max="4853" width="6.33203125" style="4" bestFit="1" customWidth="1"/>
    <col min="4854" max="4854" width="15.109375" style="4" bestFit="1" customWidth="1"/>
    <col min="4855" max="4855" width="7.33203125" style="4" bestFit="1" customWidth="1"/>
    <col min="4856" max="4856" width="5.6640625" style="4" bestFit="1" customWidth="1"/>
    <col min="4857" max="4857" width="14.88671875" style="4" bestFit="1" customWidth="1"/>
    <col min="4858" max="4858" width="7.33203125" style="4" bestFit="1" customWidth="1"/>
    <col min="4859" max="4859" width="5.6640625" style="4" bestFit="1" customWidth="1"/>
    <col min="4860" max="4860" width="10.77734375" style="4" bestFit="1" customWidth="1"/>
    <col min="4861" max="4861" width="7.33203125" style="4" bestFit="1" customWidth="1"/>
    <col min="4862" max="4862" width="5.33203125" style="4" customWidth="1"/>
    <col min="4863" max="4863" width="11" style="4" bestFit="1" customWidth="1"/>
    <col min="4864" max="4864" width="7.33203125" style="4" bestFit="1" customWidth="1"/>
    <col min="4865" max="4865" width="5.33203125" style="4" bestFit="1" customWidth="1"/>
    <col min="4866" max="4866" width="10.44140625" style="4" bestFit="1" customWidth="1"/>
    <col min="4867" max="4867" width="7.33203125" style="4" bestFit="1" customWidth="1"/>
    <col min="4868" max="4868" width="5.33203125" style="4" bestFit="1" customWidth="1"/>
    <col min="4869" max="4869" width="8" style="4" customWidth="1"/>
    <col min="4870" max="4870" width="7.33203125" style="4" bestFit="1" customWidth="1"/>
    <col min="4871" max="5101" width="8.88671875" style="4"/>
    <col min="5102" max="5102" width="4.21875" style="4" bestFit="1" customWidth="1"/>
    <col min="5103" max="5103" width="6.109375" style="4" bestFit="1" customWidth="1"/>
    <col min="5104" max="5104" width="5.5546875" style="4" bestFit="1" customWidth="1"/>
    <col min="5105" max="5105" width="24.109375" style="4" bestFit="1" customWidth="1"/>
    <col min="5106" max="5106" width="6.33203125" style="4" bestFit="1" customWidth="1"/>
    <col min="5107" max="5107" width="15.109375" style="4" bestFit="1" customWidth="1"/>
    <col min="5108" max="5108" width="14.109375" style="4" bestFit="1" customWidth="1"/>
    <col min="5109" max="5109" width="6.33203125" style="4" bestFit="1" customWidth="1"/>
    <col min="5110" max="5110" width="15.109375" style="4" bestFit="1" customWidth="1"/>
    <col min="5111" max="5111" width="7.33203125" style="4" bestFit="1" customWidth="1"/>
    <col min="5112" max="5112" width="5.6640625" style="4" bestFit="1" customWidth="1"/>
    <col min="5113" max="5113" width="14.88671875" style="4" bestFit="1" customWidth="1"/>
    <col min="5114" max="5114" width="7.33203125" style="4" bestFit="1" customWidth="1"/>
    <col min="5115" max="5115" width="5.6640625" style="4" bestFit="1" customWidth="1"/>
    <col min="5116" max="5116" width="10.77734375" style="4" bestFit="1" customWidth="1"/>
    <col min="5117" max="5117" width="7.33203125" style="4" bestFit="1" customWidth="1"/>
    <col min="5118" max="5118" width="5.33203125" style="4" customWidth="1"/>
    <col min="5119" max="5119" width="11" style="4" bestFit="1" customWidth="1"/>
    <col min="5120" max="5120" width="7.33203125" style="4" bestFit="1" customWidth="1"/>
    <col min="5121" max="5121" width="5.33203125" style="4" bestFit="1" customWidth="1"/>
    <col min="5122" max="5122" width="10.44140625" style="4" bestFit="1" customWidth="1"/>
    <col min="5123" max="5123" width="7.33203125" style="4" bestFit="1" customWidth="1"/>
    <col min="5124" max="5124" width="5.33203125" style="4" bestFit="1" customWidth="1"/>
    <col min="5125" max="5125" width="8" style="4" customWidth="1"/>
    <col min="5126" max="5126" width="7.33203125" style="4" bestFit="1" customWidth="1"/>
    <col min="5127" max="5357" width="8.88671875" style="4"/>
    <col min="5358" max="5358" width="4.21875" style="4" bestFit="1" customWidth="1"/>
    <col min="5359" max="5359" width="6.109375" style="4" bestFit="1" customWidth="1"/>
    <col min="5360" max="5360" width="5.5546875" style="4" bestFit="1" customWidth="1"/>
    <col min="5361" max="5361" width="24.109375" style="4" bestFit="1" customWidth="1"/>
    <col min="5362" max="5362" width="6.33203125" style="4" bestFit="1" customWidth="1"/>
    <col min="5363" max="5363" width="15.109375" style="4" bestFit="1" customWidth="1"/>
    <col min="5364" max="5364" width="14.109375" style="4" bestFit="1" customWidth="1"/>
    <col min="5365" max="5365" width="6.33203125" style="4" bestFit="1" customWidth="1"/>
    <col min="5366" max="5366" width="15.109375" style="4" bestFit="1" customWidth="1"/>
    <col min="5367" max="5367" width="7.33203125" style="4" bestFit="1" customWidth="1"/>
    <col min="5368" max="5368" width="5.6640625" style="4" bestFit="1" customWidth="1"/>
    <col min="5369" max="5369" width="14.88671875" style="4" bestFit="1" customWidth="1"/>
    <col min="5370" max="5370" width="7.33203125" style="4" bestFit="1" customWidth="1"/>
    <col min="5371" max="5371" width="5.6640625" style="4" bestFit="1" customWidth="1"/>
    <col min="5372" max="5372" width="10.77734375" style="4" bestFit="1" customWidth="1"/>
    <col min="5373" max="5373" width="7.33203125" style="4" bestFit="1" customWidth="1"/>
    <col min="5374" max="5374" width="5.33203125" style="4" customWidth="1"/>
    <col min="5375" max="5375" width="11" style="4" bestFit="1" customWidth="1"/>
    <col min="5376" max="5376" width="7.33203125" style="4" bestFit="1" customWidth="1"/>
    <col min="5377" max="5377" width="5.33203125" style="4" bestFit="1" customWidth="1"/>
    <col min="5378" max="5378" width="10.44140625" style="4" bestFit="1" customWidth="1"/>
    <col min="5379" max="5379" width="7.33203125" style="4" bestFit="1" customWidth="1"/>
    <col min="5380" max="5380" width="5.33203125" style="4" bestFit="1" customWidth="1"/>
    <col min="5381" max="5381" width="8" style="4" customWidth="1"/>
    <col min="5382" max="5382" width="7.33203125" style="4" bestFit="1" customWidth="1"/>
    <col min="5383" max="5613" width="8.88671875" style="4"/>
    <col min="5614" max="5614" width="4.21875" style="4" bestFit="1" customWidth="1"/>
    <col min="5615" max="5615" width="6.109375" style="4" bestFit="1" customWidth="1"/>
    <col min="5616" max="5616" width="5.5546875" style="4" bestFit="1" customWidth="1"/>
    <col min="5617" max="5617" width="24.109375" style="4" bestFit="1" customWidth="1"/>
    <col min="5618" max="5618" width="6.33203125" style="4" bestFit="1" customWidth="1"/>
    <col min="5619" max="5619" width="15.109375" style="4" bestFit="1" customWidth="1"/>
    <col min="5620" max="5620" width="14.109375" style="4" bestFit="1" customWidth="1"/>
    <col min="5621" max="5621" width="6.33203125" style="4" bestFit="1" customWidth="1"/>
    <col min="5622" max="5622" width="15.109375" style="4" bestFit="1" customWidth="1"/>
    <col min="5623" max="5623" width="7.33203125" style="4" bestFit="1" customWidth="1"/>
    <col min="5624" max="5624" width="5.6640625" style="4" bestFit="1" customWidth="1"/>
    <col min="5625" max="5625" width="14.88671875" style="4" bestFit="1" customWidth="1"/>
    <col min="5626" max="5626" width="7.33203125" style="4" bestFit="1" customWidth="1"/>
    <col min="5627" max="5627" width="5.6640625" style="4" bestFit="1" customWidth="1"/>
    <col min="5628" max="5628" width="10.77734375" style="4" bestFit="1" customWidth="1"/>
    <col min="5629" max="5629" width="7.33203125" style="4" bestFit="1" customWidth="1"/>
    <col min="5630" max="5630" width="5.33203125" style="4" customWidth="1"/>
    <col min="5631" max="5631" width="11" style="4" bestFit="1" customWidth="1"/>
    <col min="5632" max="5632" width="7.33203125" style="4" bestFit="1" customWidth="1"/>
    <col min="5633" max="5633" width="5.33203125" style="4" bestFit="1" customWidth="1"/>
    <col min="5634" max="5634" width="10.44140625" style="4" bestFit="1" customWidth="1"/>
    <col min="5635" max="5635" width="7.33203125" style="4" bestFit="1" customWidth="1"/>
    <col min="5636" max="5636" width="5.33203125" style="4" bestFit="1" customWidth="1"/>
    <col min="5637" max="5637" width="8" style="4" customWidth="1"/>
    <col min="5638" max="5638" width="7.33203125" style="4" bestFit="1" customWidth="1"/>
    <col min="5639" max="5869" width="8.88671875" style="4"/>
    <col min="5870" max="5870" width="4.21875" style="4" bestFit="1" customWidth="1"/>
    <col min="5871" max="5871" width="6.109375" style="4" bestFit="1" customWidth="1"/>
    <col min="5872" max="5872" width="5.5546875" style="4" bestFit="1" customWidth="1"/>
    <col min="5873" max="5873" width="24.109375" style="4" bestFit="1" customWidth="1"/>
    <col min="5874" max="5874" width="6.33203125" style="4" bestFit="1" customWidth="1"/>
    <col min="5875" max="5875" width="15.109375" style="4" bestFit="1" customWidth="1"/>
    <col min="5876" max="5876" width="14.109375" style="4" bestFit="1" customWidth="1"/>
    <col min="5877" max="5877" width="6.33203125" style="4" bestFit="1" customWidth="1"/>
    <col min="5878" max="5878" width="15.109375" style="4" bestFit="1" customWidth="1"/>
    <col min="5879" max="5879" width="7.33203125" style="4" bestFit="1" customWidth="1"/>
    <col min="5880" max="5880" width="5.6640625" style="4" bestFit="1" customWidth="1"/>
    <col min="5881" max="5881" width="14.88671875" style="4" bestFit="1" customWidth="1"/>
    <col min="5882" max="5882" width="7.33203125" style="4" bestFit="1" customWidth="1"/>
    <col min="5883" max="5883" width="5.6640625" style="4" bestFit="1" customWidth="1"/>
    <col min="5884" max="5884" width="10.77734375" style="4" bestFit="1" customWidth="1"/>
    <col min="5885" max="5885" width="7.33203125" style="4" bestFit="1" customWidth="1"/>
    <col min="5886" max="5886" width="5.33203125" style="4" customWidth="1"/>
    <col min="5887" max="5887" width="11" style="4" bestFit="1" customWidth="1"/>
    <col min="5888" max="5888" width="7.33203125" style="4" bestFit="1" customWidth="1"/>
    <col min="5889" max="5889" width="5.33203125" style="4" bestFit="1" customWidth="1"/>
    <col min="5890" max="5890" width="10.44140625" style="4" bestFit="1" customWidth="1"/>
    <col min="5891" max="5891" width="7.33203125" style="4" bestFit="1" customWidth="1"/>
    <col min="5892" max="5892" width="5.33203125" style="4" bestFit="1" customWidth="1"/>
    <col min="5893" max="5893" width="8" style="4" customWidth="1"/>
    <col min="5894" max="5894" width="7.33203125" style="4" bestFit="1" customWidth="1"/>
    <col min="5895" max="6125" width="8.88671875" style="4"/>
    <col min="6126" max="6126" width="4.21875" style="4" bestFit="1" customWidth="1"/>
    <col min="6127" max="6127" width="6.109375" style="4" bestFit="1" customWidth="1"/>
    <col min="6128" max="6128" width="5.5546875" style="4" bestFit="1" customWidth="1"/>
    <col min="6129" max="6129" width="24.109375" style="4" bestFit="1" customWidth="1"/>
    <col min="6130" max="6130" width="6.33203125" style="4" bestFit="1" customWidth="1"/>
    <col min="6131" max="6131" width="15.109375" style="4" bestFit="1" customWidth="1"/>
    <col min="6132" max="6132" width="14.109375" style="4" bestFit="1" customWidth="1"/>
    <col min="6133" max="6133" width="6.33203125" style="4" bestFit="1" customWidth="1"/>
    <col min="6134" max="6134" width="15.109375" style="4" bestFit="1" customWidth="1"/>
    <col min="6135" max="6135" width="7.33203125" style="4" bestFit="1" customWidth="1"/>
    <col min="6136" max="6136" width="5.6640625" style="4" bestFit="1" customWidth="1"/>
    <col min="6137" max="6137" width="14.88671875" style="4" bestFit="1" customWidth="1"/>
    <col min="6138" max="6138" width="7.33203125" style="4" bestFit="1" customWidth="1"/>
    <col min="6139" max="6139" width="5.6640625" style="4" bestFit="1" customWidth="1"/>
    <col min="6140" max="6140" width="10.77734375" style="4" bestFit="1" customWidth="1"/>
    <col min="6141" max="6141" width="7.33203125" style="4" bestFit="1" customWidth="1"/>
    <col min="6142" max="6142" width="5.33203125" style="4" customWidth="1"/>
    <col min="6143" max="6143" width="11" style="4" bestFit="1" customWidth="1"/>
    <col min="6144" max="6144" width="7.33203125" style="4" bestFit="1" customWidth="1"/>
    <col min="6145" max="6145" width="5.33203125" style="4" bestFit="1" customWidth="1"/>
    <col min="6146" max="6146" width="10.44140625" style="4" bestFit="1" customWidth="1"/>
    <col min="6147" max="6147" width="7.33203125" style="4" bestFit="1" customWidth="1"/>
    <col min="6148" max="6148" width="5.33203125" style="4" bestFit="1" customWidth="1"/>
    <col min="6149" max="6149" width="8" style="4" customWidth="1"/>
    <col min="6150" max="6150" width="7.33203125" style="4" bestFit="1" customWidth="1"/>
    <col min="6151" max="6381" width="8.88671875" style="4"/>
    <col min="6382" max="6382" width="4.21875" style="4" bestFit="1" customWidth="1"/>
    <col min="6383" max="6383" width="6.109375" style="4" bestFit="1" customWidth="1"/>
    <col min="6384" max="6384" width="5.5546875" style="4" bestFit="1" customWidth="1"/>
    <col min="6385" max="6385" width="24.109375" style="4" bestFit="1" customWidth="1"/>
    <col min="6386" max="6386" width="6.33203125" style="4" bestFit="1" customWidth="1"/>
    <col min="6387" max="6387" width="15.109375" style="4" bestFit="1" customWidth="1"/>
    <col min="6388" max="6388" width="14.109375" style="4" bestFit="1" customWidth="1"/>
    <col min="6389" max="6389" width="6.33203125" style="4" bestFit="1" customWidth="1"/>
    <col min="6390" max="6390" width="15.109375" style="4" bestFit="1" customWidth="1"/>
    <col min="6391" max="6391" width="7.33203125" style="4" bestFit="1" customWidth="1"/>
    <col min="6392" max="6392" width="5.6640625" style="4" bestFit="1" customWidth="1"/>
    <col min="6393" max="6393" width="14.88671875" style="4" bestFit="1" customWidth="1"/>
    <col min="6394" max="6394" width="7.33203125" style="4" bestFit="1" customWidth="1"/>
    <col min="6395" max="6395" width="5.6640625" style="4" bestFit="1" customWidth="1"/>
    <col min="6396" max="6396" width="10.77734375" style="4" bestFit="1" customWidth="1"/>
    <col min="6397" max="6397" width="7.33203125" style="4" bestFit="1" customWidth="1"/>
    <col min="6398" max="6398" width="5.33203125" style="4" customWidth="1"/>
    <col min="6399" max="6399" width="11" style="4" bestFit="1" customWidth="1"/>
    <col min="6400" max="6400" width="7.33203125" style="4" bestFit="1" customWidth="1"/>
    <col min="6401" max="6401" width="5.33203125" style="4" bestFit="1" customWidth="1"/>
    <col min="6402" max="6402" width="10.44140625" style="4" bestFit="1" customWidth="1"/>
    <col min="6403" max="6403" width="7.33203125" style="4" bestFit="1" customWidth="1"/>
    <col min="6404" max="6404" width="5.33203125" style="4" bestFit="1" customWidth="1"/>
    <col min="6405" max="6405" width="8" style="4" customWidth="1"/>
    <col min="6406" max="6406" width="7.33203125" style="4" bestFit="1" customWidth="1"/>
    <col min="6407" max="6637" width="8.88671875" style="4"/>
    <col min="6638" max="6638" width="4.21875" style="4" bestFit="1" customWidth="1"/>
    <col min="6639" max="6639" width="6.109375" style="4" bestFit="1" customWidth="1"/>
    <col min="6640" max="6640" width="5.5546875" style="4" bestFit="1" customWidth="1"/>
    <col min="6641" max="6641" width="24.109375" style="4" bestFit="1" customWidth="1"/>
    <col min="6642" max="6642" width="6.33203125" style="4" bestFit="1" customWidth="1"/>
    <col min="6643" max="6643" width="15.109375" style="4" bestFit="1" customWidth="1"/>
    <col min="6644" max="6644" width="14.109375" style="4" bestFit="1" customWidth="1"/>
    <col min="6645" max="6645" width="6.33203125" style="4" bestFit="1" customWidth="1"/>
    <col min="6646" max="6646" width="15.109375" style="4" bestFit="1" customWidth="1"/>
    <col min="6647" max="6647" width="7.33203125" style="4" bestFit="1" customWidth="1"/>
    <col min="6648" max="6648" width="5.6640625" style="4" bestFit="1" customWidth="1"/>
    <col min="6649" max="6649" width="14.88671875" style="4" bestFit="1" customWidth="1"/>
    <col min="6650" max="6650" width="7.33203125" style="4" bestFit="1" customWidth="1"/>
    <col min="6651" max="6651" width="5.6640625" style="4" bestFit="1" customWidth="1"/>
    <col min="6652" max="6652" width="10.77734375" style="4" bestFit="1" customWidth="1"/>
    <col min="6653" max="6653" width="7.33203125" style="4" bestFit="1" customWidth="1"/>
    <col min="6654" max="6654" width="5.33203125" style="4" customWidth="1"/>
    <col min="6655" max="6655" width="11" style="4" bestFit="1" customWidth="1"/>
    <col min="6656" max="6656" width="7.33203125" style="4" bestFit="1" customWidth="1"/>
    <col min="6657" max="6657" width="5.33203125" style="4" bestFit="1" customWidth="1"/>
    <col min="6658" max="6658" width="10.44140625" style="4" bestFit="1" customWidth="1"/>
    <col min="6659" max="6659" width="7.33203125" style="4" bestFit="1" customWidth="1"/>
    <col min="6660" max="6660" width="5.33203125" style="4" bestFit="1" customWidth="1"/>
    <col min="6661" max="6661" width="8" style="4" customWidth="1"/>
    <col min="6662" max="6662" width="7.33203125" style="4" bestFit="1" customWidth="1"/>
    <col min="6663" max="6893" width="8.88671875" style="4"/>
    <col min="6894" max="6894" width="4.21875" style="4" bestFit="1" customWidth="1"/>
    <col min="6895" max="6895" width="6.109375" style="4" bestFit="1" customWidth="1"/>
    <col min="6896" max="6896" width="5.5546875" style="4" bestFit="1" customWidth="1"/>
    <col min="6897" max="6897" width="24.109375" style="4" bestFit="1" customWidth="1"/>
    <col min="6898" max="6898" width="6.33203125" style="4" bestFit="1" customWidth="1"/>
    <col min="6899" max="6899" width="15.109375" style="4" bestFit="1" customWidth="1"/>
    <col min="6900" max="6900" width="14.109375" style="4" bestFit="1" customWidth="1"/>
    <col min="6901" max="6901" width="6.33203125" style="4" bestFit="1" customWidth="1"/>
    <col min="6902" max="6902" width="15.109375" style="4" bestFit="1" customWidth="1"/>
    <col min="6903" max="6903" width="7.33203125" style="4" bestFit="1" customWidth="1"/>
    <col min="6904" max="6904" width="5.6640625" style="4" bestFit="1" customWidth="1"/>
    <col min="6905" max="6905" width="14.88671875" style="4" bestFit="1" customWidth="1"/>
    <col min="6906" max="6906" width="7.33203125" style="4" bestFit="1" customWidth="1"/>
    <col min="6907" max="6907" width="5.6640625" style="4" bestFit="1" customWidth="1"/>
    <col min="6908" max="6908" width="10.77734375" style="4" bestFit="1" customWidth="1"/>
    <col min="6909" max="6909" width="7.33203125" style="4" bestFit="1" customWidth="1"/>
    <col min="6910" max="6910" width="5.33203125" style="4" customWidth="1"/>
    <col min="6911" max="6911" width="11" style="4" bestFit="1" customWidth="1"/>
    <col min="6912" max="6912" width="7.33203125" style="4" bestFit="1" customWidth="1"/>
    <col min="6913" max="6913" width="5.33203125" style="4" bestFit="1" customWidth="1"/>
    <col min="6914" max="6914" width="10.44140625" style="4" bestFit="1" customWidth="1"/>
    <col min="6915" max="6915" width="7.33203125" style="4" bestFit="1" customWidth="1"/>
    <col min="6916" max="6916" width="5.33203125" style="4" bestFit="1" customWidth="1"/>
    <col min="6917" max="6917" width="8" style="4" customWidth="1"/>
    <col min="6918" max="6918" width="7.33203125" style="4" bestFit="1" customWidth="1"/>
    <col min="6919" max="7149" width="8.88671875" style="4"/>
    <col min="7150" max="7150" width="4.21875" style="4" bestFit="1" customWidth="1"/>
    <col min="7151" max="7151" width="6.109375" style="4" bestFit="1" customWidth="1"/>
    <col min="7152" max="7152" width="5.5546875" style="4" bestFit="1" customWidth="1"/>
    <col min="7153" max="7153" width="24.109375" style="4" bestFit="1" customWidth="1"/>
    <col min="7154" max="7154" width="6.33203125" style="4" bestFit="1" customWidth="1"/>
    <col min="7155" max="7155" width="15.109375" style="4" bestFit="1" customWidth="1"/>
    <col min="7156" max="7156" width="14.109375" style="4" bestFit="1" customWidth="1"/>
    <col min="7157" max="7157" width="6.33203125" style="4" bestFit="1" customWidth="1"/>
    <col min="7158" max="7158" width="15.109375" style="4" bestFit="1" customWidth="1"/>
    <col min="7159" max="7159" width="7.33203125" style="4" bestFit="1" customWidth="1"/>
    <col min="7160" max="7160" width="5.6640625" style="4" bestFit="1" customWidth="1"/>
    <col min="7161" max="7161" width="14.88671875" style="4" bestFit="1" customWidth="1"/>
    <col min="7162" max="7162" width="7.33203125" style="4" bestFit="1" customWidth="1"/>
    <col min="7163" max="7163" width="5.6640625" style="4" bestFit="1" customWidth="1"/>
    <col min="7164" max="7164" width="10.77734375" style="4" bestFit="1" customWidth="1"/>
    <col min="7165" max="7165" width="7.33203125" style="4" bestFit="1" customWidth="1"/>
    <col min="7166" max="7166" width="5.33203125" style="4" customWidth="1"/>
    <col min="7167" max="7167" width="11" style="4" bestFit="1" customWidth="1"/>
    <col min="7168" max="7168" width="7.33203125" style="4" bestFit="1" customWidth="1"/>
    <col min="7169" max="7169" width="5.33203125" style="4" bestFit="1" customWidth="1"/>
    <col min="7170" max="7170" width="10.44140625" style="4" bestFit="1" customWidth="1"/>
    <col min="7171" max="7171" width="7.33203125" style="4" bestFit="1" customWidth="1"/>
    <col min="7172" max="7172" width="5.33203125" style="4" bestFit="1" customWidth="1"/>
    <col min="7173" max="7173" width="8" style="4" customWidth="1"/>
    <col min="7174" max="7174" width="7.33203125" style="4" bestFit="1" customWidth="1"/>
    <col min="7175" max="7405" width="8.88671875" style="4"/>
    <col min="7406" max="7406" width="4.21875" style="4" bestFit="1" customWidth="1"/>
    <col min="7407" max="7407" width="6.109375" style="4" bestFit="1" customWidth="1"/>
    <col min="7408" max="7408" width="5.5546875" style="4" bestFit="1" customWidth="1"/>
    <col min="7409" max="7409" width="24.109375" style="4" bestFit="1" customWidth="1"/>
    <col min="7410" max="7410" width="6.33203125" style="4" bestFit="1" customWidth="1"/>
    <col min="7411" max="7411" width="15.109375" style="4" bestFit="1" customWidth="1"/>
    <col min="7412" max="7412" width="14.109375" style="4" bestFit="1" customWidth="1"/>
    <col min="7413" max="7413" width="6.33203125" style="4" bestFit="1" customWidth="1"/>
    <col min="7414" max="7414" width="15.109375" style="4" bestFit="1" customWidth="1"/>
    <col min="7415" max="7415" width="7.33203125" style="4" bestFit="1" customWidth="1"/>
    <col min="7416" max="7416" width="5.6640625" style="4" bestFit="1" customWidth="1"/>
    <col min="7417" max="7417" width="14.88671875" style="4" bestFit="1" customWidth="1"/>
    <col min="7418" max="7418" width="7.33203125" style="4" bestFit="1" customWidth="1"/>
    <col min="7419" max="7419" width="5.6640625" style="4" bestFit="1" customWidth="1"/>
    <col min="7420" max="7420" width="10.77734375" style="4" bestFit="1" customWidth="1"/>
    <col min="7421" max="7421" width="7.33203125" style="4" bestFit="1" customWidth="1"/>
    <col min="7422" max="7422" width="5.33203125" style="4" customWidth="1"/>
    <col min="7423" max="7423" width="11" style="4" bestFit="1" customWidth="1"/>
    <col min="7424" max="7424" width="7.33203125" style="4" bestFit="1" customWidth="1"/>
    <col min="7425" max="7425" width="5.33203125" style="4" bestFit="1" customWidth="1"/>
    <col min="7426" max="7426" width="10.44140625" style="4" bestFit="1" customWidth="1"/>
    <col min="7427" max="7427" width="7.33203125" style="4" bestFit="1" customWidth="1"/>
    <col min="7428" max="7428" width="5.33203125" style="4" bestFit="1" customWidth="1"/>
    <col min="7429" max="7429" width="8" style="4" customWidth="1"/>
    <col min="7430" max="7430" width="7.33203125" style="4" bestFit="1" customWidth="1"/>
    <col min="7431" max="7661" width="8.88671875" style="4"/>
    <col min="7662" max="7662" width="4.21875" style="4" bestFit="1" customWidth="1"/>
    <col min="7663" max="7663" width="6.109375" style="4" bestFit="1" customWidth="1"/>
    <col min="7664" max="7664" width="5.5546875" style="4" bestFit="1" customWidth="1"/>
    <col min="7665" max="7665" width="24.109375" style="4" bestFit="1" customWidth="1"/>
    <col min="7666" max="7666" width="6.33203125" style="4" bestFit="1" customWidth="1"/>
    <col min="7667" max="7667" width="15.109375" style="4" bestFit="1" customWidth="1"/>
    <col min="7668" max="7668" width="14.109375" style="4" bestFit="1" customWidth="1"/>
    <col min="7669" max="7669" width="6.33203125" style="4" bestFit="1" customWidth="1"/>
    <col min="7670" max="7670" width="15.109375" style="4" bestFit="1" customWidth="1"/>
    <col min="7671" max="7671" width="7.33203125" style="4" bestFit="1" customWidth="1"/>
    <col min="7672" max="7672" width="5.6640625" style="4" bestFit="1" customWidth="1"/>
    <col min="7673" max="7673" width="14.88671875" style="4" bestFit="1" customWidth="1"/>
    <col min="7674" max="7674" width="7.33203125" style="4" bestFit="1" customWidth="1"/>
    <col min="7675" max="7675" width="5.6640625" style="4" bestFit="1" customWidth="1"/>
    <col min="7676" max="7676" width="10.77734375" style="4" bestFit="1" customWidth="1"/>
    <col min="7677" max="7677" width="7.33203125" style="4" bestFit="1" customWidth="1"/>
    <col min="7678" max="7678" width="5.33203125" style="4" customWidth="1"/>
    <col min="7679" max="7679" width="11" style="4" bestFit="1" customWidth="1"/>
    <col min="7680" max="7680" width="7.33203125" style="4" bestFit="1" customWidth="1"/>
    <col min="7681" max="7681" width="5.33203125" style="4" bestFit="1" customWidth="1"/>
    <col min="7682" max="7682" width="10.44140625" style="4" bestFit="1" customWidth="1"/>
    <col min="7683" max="7683" width="7.33203125" style="4" bestFit="1" customWidth="1"/>
    <col min="7684" max="7684" width="5.33203125" style="4" bestFit="1" customWidth="1"/>
    <col min="7685" max="7685" width="8" style="4" customWidth="1"/>
    <col min="7686" max="7686" width="7.33203125" style="4" bestFit="1" customWidth="1"/>
    <col min="7687" max="7917" width="8.88671875" style="4"/>
    <col min="7918" max="7918" width="4.21875" style="4" bestFit="1" customWidth="1"/>
    <col min="7919" max="7919" width="6.109375" style="4" bestFit="1" customWidth="1"/>
    <col min="7920" max="7920" width="5.5546875" style="4" bestFit="1" customWidth="1"/>
    <col min="7921" max="7921" width="24.109375" style="4" bestFit="1" customWidth="1"/>
    <col min="7922" max="7922" width="6.33203125" style="4" bestFit="1" customWidth="1"/>
    <col min="7923" max="7923" width="15.109375" style="4" bestFit="1" customWidth="1"/>
    <col min="7924" max="7924" width="14.109375" style="4" bestFit="1" customWidth="1"/>
    <col min="7925" max="7925" width="6.33203125" style="4" bestFit="1" customWidth="1"/>
    <col min="7926" max="7926" width="15.109375" style="4" bestFit="1" customWidth="1"/>
    <col min="7927" max="7927" width="7.33203125" style="4" bestFit="1" customWidth="1"/>
    <col min="7928" max="7928" width="5.6640625" style="4" bestFit="1" customWidth="1"/>
    <col min="7929" max="7929" width="14.88671875" style="4" bestFit="1" customWidth="1"/>
    <col min="7930" max="7930" width="7.33203125" style="4" bestFit="1" customWidth="1"/>
    <col min="7931" max="7931" width="5.6640625" style="4" bestFit="1" customWidth="1"/>
    <col min="7932" max="7932" width="10.77734375" style="4" bestFit="1" customWidth="1"/>
    <col min="7933" max="7933" width="7.33203125" style="4" bestFit="1" customWidth="1"/>
    <col min="7934" max="7934" width="5.33203125" style="4" customWidth="1"/>
    <col min="7935" max="7935" width="11" style="4" bestFit="1" customWidth="1"/>
    <col min="7936" max="7936" width="7.33203125" style="4" bestFit="1" customWidth="1"/>
    <col min="7937" max="7937" width="5.33203125" style="4" bestFit="1" customWidth="1"/>
    <col min="7938" max="7938" width="10.44140625" style="4" bestFit="1" customWidth="1"/>
    <col min="7939" max="7939" width="7.33203125" style="4" bestFit="1" customWidth="1"/>
    <col min="7940" max="7940" width="5.33203125" style="4" bestFit="1" customWidth="1"/>
    <col min="7941" max="7941" width="8" style="4" customWidth="1"/>
    <col min="7942" max="7942" width="7.33203125" style="4" bestFit="1" customWidth="1"/>
    <col min="7943" max="8173" width="8.88671875" style="4"/>
    <col min="8174" max="8174" width="4.21875" style="4" bestFit="1" customWidth="1"/>
    <col min="8175" max="8175" width="6.109375" style="4" bestFit="1" customWidth="1"/>
    <col min="8176" max="8176" width="5.5546875" style="4" bestFit="1" customWidth="1"/>
    <col min="8177" max="8177" width="24.109375" style="4" bestFit="1" customWidth="1"/>
    <col min="8178" max="8178" width="6.33203125" style="4" bestFit="1" customWidth="1"/>
    <col min="8179" max="8179" width="15.109375" style="4" bestFit="1" customWidth="1"/>
    <col min="8180" max="8180" width="14.109375" style="4" bestFit="1" customWidth="1"/>
    <col min="8181" max="8181" width="6.33203125" style="4" bestFit="1" customWidth="1"/>
    <col min="8182" max="8182" width="15.109375" style="4" bestFit="1" customWidth="1"/>
    <col min="8183" max="8183" width="7.33203125" style="4" bestFit="1" customWidth="1"/>
    <col min="8184" max="8184" width="5.6640625" style="4" bestFit="1" customWidth="1"/>
    <col min="8185" max="8185" width="14.88671875" style="4" bestFit="1" customWidth="1"/>
    <col min="8186" max="8186" width="7.33203125" style="4" bestFit="1" customWidth="1"/>
    <col min="8187" max="8187" width="5.6640625" style="4" bestFit="1" customWidth="1"/>
    <col min="8188" max="8188" width="10.77734375" style="4" bestFit="1" customWidth="1"/>
    <col min="8189" max="8189" width="7.33203125" style="4" bestFit="1" customWidth="1"/>
    <col min="8190" max="8190" width="5.33203125" style="4" customWidth="1"/>
    <col min="8191" max="8191" width="11" style="4" bestFit="1" customWidth="1"/>
    <col min="8192" max="8192" width="7.33203125" style="4" bestFit="1" customWidth="1"/>
    <col min="8193" max="8193" width="5.33203125" style="4" bestFit="1" customWidth="1"/>
    <col min="8194" max="8194" width="10.44140625" style="4" bestFit="1" customWidth="1"/>
    <col min="8195" max="8195" width="7.33203125" style="4" bestFit="1" customWidth="1"/>
    <col min="8196" max="8196" width="5.33203125" style="4" bestFit="1" customWidth="1"/>
    <col min="8197" max="8197" width="8" style="4" customWidth="1"/>
    <col min="8198" max="8198" width="7.33203125" style="4" bestFit="1" customWidth="1"/>
    <col min="8199" max="8429" width="8.88671875" style="4"/>
    <col min="8430" max="8430" width="4.21875" style="4" bestFit="1" customWidth="1"/>
    <col min="8431" max="8431" width="6.109375" style="4" bestFit="1" customWidth="1"/>
    <col min="8432" max="8432" width="5.5546875" style="4" bestFit="1" customWidth="1"/>
    <col min="8433" max="8433" width="24.109375" style="4" bestFit="1" customWidth="1"/>
    <col min="8434" max="8434" width="6.33203125" style="4" bestFit="1" customWidth="1"/>
    <col min="8435" max="8435" width="15.109375" style="4" bestFit="1" customWidth="1"/>
    <col min="8436" max="8436" width="14.109375" style="4" bestFit="1" customWidth="1"/>
    <col min="8437" max="8437" width="6.33203125" style="4" bestFit="1" customWidth="1"/>
    <col min="8438" max="8438" width="15.109375" style="4" bestFit="1" customWidth="1"/>
    <col min="8439" max="8439" width="7.33203125" style="4" bestFit="1" customWidth="1"/>
    <col min="8440" max="8440" width="5.6640625" style="4" bestFit="1" customWidth="1"/>
    <col min="8441" max="8441" width="14.88671875" style="4" bestFit="1" customWidth="1"/>
    <col min="8442" max="8442" width="7.33203125" style="4" bestFit="1" customWidth="1"/>
    <col min="8443" max="8443" width="5.6640625" style="4" bestFit="1" customWidth="1"/>
    <col min="8444" max="8444" width="10.77734375" style="4" bestFit="1" customWidth="1"/>
    <col min="8445" max="8445" width="7.33203125" style="4" bestFit="1" customWidth="1"/>
    <col min="8446" max="8446" width="5.33203125" style="4" customWidth="1"/>
    <col min="8447" max="8447" width="11" style="4" bestFit="1" customWidth="1"/>
    <col min="8448" max="8448" width="7.33203125" style="4" bestFit="1" customWidth="1"/>
    <col min="8449" max="8449" width="5.33203125" style="4" bestFit="1" customWidth="1"/>
    <col min="8450" max="8450" width="10.44140625" style="4" bestFit="1" customWidth="1"/>
    <col min="8451" max="8451" width="7.33203125" style="4" bestFit="1" customWidth="1"/>
    <col min="8452" max="8452" width="5.33203125" style="4" bestFit="1" customWidth="1"/>
    <col min="8453" max="8453" width="8" style="4" customWidth="1"/>
    <col min="8454" max="8454" width="7.33203125" style="4" bestFit="1" customWidth="1"/>
    <col min="8455" max="8685" width="8.88671875" style="4"/>
    <col min="8686" max="8686" width="4.21875" style="4" bestFit="1" customWidth="1"/>
    <col min="8687" max="8687" width="6.109375" style="4" bestFit="1" customWidth="1"/>
    <col min="8688" max="8688" width="5.5546875" style="4" bestFit="1" customWidth="1"/>
    <col min="8689" max="8689" width="24.109375" style="4" bestFit="1" customWidth="1"/>
    <col min="8690" max="8690" width="6.33203125" style="4" bestFit="1" customWidth="1"/>
    <col min="8691" max="8691" width="15.109375" style="4" bestFit="1" customWidth="1"/>
    <col min="8692" max="8692" width="14.109375" style="4" bestFit="1" customWidth="1"/>
    <col min="8693" max="8693" width="6.33203125" style="4" bestFit="1" customWidth="1"/>
    <col min="8694" max="8694" width="15.109375" style="4" bestFit="1" customWidth="1"/>
    <col min="8695" max="8695" width="7.33203125" style="4" bestFit="1" customWidth="1"/>
    <col min="8696" max="8696" width="5.6640625" style="4" bestFit="1" customWidth="1"/>
    <col min="8697" max="8697" width="14.88671875" style="4" bestFit="1" customWidth="1"/>
    <col min="8698" max="8698" width="7.33203125" style="4" bestFit="1" customWidth="1"/>
    <col min="8699" max="8699" width="5.6640625" style="4" bestFit="1" customWidth="1"/>
    <col min="8700" max="8700" width="10.77734375" style="4" bestFit="1" customWidth="1"/>
    <col min="8701" max="8701" width="7.33203125" style="4" bestFit="1" customWidth="1"/>
    <col min="8702" max="8702" width="5.33203125" style="4" customWidth="1"/>
    <col min="8703" max="8703" width="11" style="4" bestFit="1" customWidth="1"/>
    <col min="8704" max="8704" width="7.33203125" style="4" bestFit="1" customWidth="1"/>
    <col min="8705" max="8705" width="5.33203125" style="4" bestFit="1" customWidth="1"/>
    <col min="8706" max="8706" width="10.44140625" style="4" bestFit="1" customWidth="1"/>
    <col min="8707" max="8707" width="7.33203125" style="4" bestFit="1" customWidth="1"/>
    <col min="8708" max="8708" width="5.33203125" style="4" bestFit="1" customWidth="1"/>
    <col min="8709" max="8709" width="8" style="4" customWidth="1"/>
    <col min="8710" max="8710" width="7.33203125" style="4" bestFit="1" customWidth="1"/>
    <col min="8711" max="8941" width="8.88671875" style="4"/>
    <col min="8942" max="8942" width="4.21875" style="4" bestFit="1" customWidth="1"/>
    <col min="8943" max="8943" width="6.109375" style="4" bestFit="1" customWidth="1"/>
    <col min="8944" max="8944" width="5.5546875" style="4" bestFit="1" customWidth="1"/>
    <col min="8945" max="8945" width="24.109375" style="4" bestFit="1" customWidth="1"/>
    <col min="8946" max="8946" width="6.33203125" style="4" bestFit="1" customWidth="1"/>
    <col min="8947" max="8947" width="15.109375" style="4" bestFit="1" customWidth="1"/>
    <col min="8948" max="8948" width="14.109375" style="4" bestFit="1" customWidth="1"/>
    <col min="8949" max="8949" width="6.33203125" style="4" bestFit="1" customWidth="1"/>
    <col min="8950" max="8950" width="15.109375" style="4" bestFit="1" customWidth="1"/>
    <col min="8951" max="8951" width="7.33203125" style="4" bestFit="1" customWidth="1"/>
    <col min="8952" max="8952" width="5.6640625" style="4" bestFit="1" customWidth="1"/>
    <col min="8953" max="8953" width="14.88671875" style="4" bestFit="1" customWidth="1"/>
    <col min="8954" max="8954" width="7.33203125" style="4" bestFit="1" customWidth="1"/>
    <col min="8955" max="8955" width="5.6640625" style="4" bestFit="1" customWidth="1"/>
    <col min="8956" max="8956" width="10.77734375" style="4" bestFit="1" customWidth="1"/>
    <col min="8957" max="8957" width="7.33203125" style="4" bestFit="1" customWidth="1"/>
    <col min="8958" max="8958" width="5.33203125" style="4" customWidth="1"/>
    <col min="8959" max="8959" width="11" style="4" bestFit="1" customWidth="1"/>
    <col min="8960" max="8960" width="7.33203125" style="4" bestFit="1" customWidth="1"/>
    <col min="8961" max="8961" width="5.33203125" style="4" bestFit="1" customWidth="1"/>
    <col min="8962" max="8962" width="10.44140625" style="4" bestFit="1" customWidth="1"/>
    <col min="8963" max="8963" width="7.33203125" style="4" bestFit="1" customWidth="1"/>
    <col min="8964" max="8964" width="5.33203125" style="4" bestFit="1" customWidth="1"/>
    <col min="8965" max="8965" width="8" style="4" customWidth="1"/>
    <col min="8966" max="8966" width="7.33203125" style="4" bestFit="1" customWidth="1"/>
    <col min="8967" max="9197" width="8.88671875" style="4"/>
    <col min="9198" max="9198" width="4.21875" style="4" bestFit="1" customWidth="1"/>
    <col min="9199" max="9199" width="6.109375" style="4" bestFit="1" customWidth="1"/>
    <col min="9200" max="9200" width="5.5546875" style="4" bestFit="1" customWidth="1"/>
    <col min="9201" max="9201" width="24.109375" style="4" bestFit="1" customWidth="1"/>
    <col min="9202" max="9202" width="6.33203125" style="4" bestFit="1" customWidth="1"/>
    <col min="9203" max="9203" width="15.109375" style="4" bestFit="1" customWidth="1"/>
    <col min="9204" max="9204" width="14.109375" style="4" bestFit="1" customWidth="1"/>
    <col min="9205" max="9205" width="6.33203125" style="4" bestFit="1" customWidth="1"/>
    <col min="9206" max="9206" width="15.109375" style="4" bestFit="1" customWidth="1"/>
    <col min="9207" max="9207" width="7.33203125" style="4" bestFit="1" customWidth="1"/>
    <col min="9208" max="9208" width="5.6640625" style="4" bestFit="1" customWidth="1"/>
    <col min="9209" max="9209" width="14.88671875" style="4" bestFit="1" customWidth="1"/>
    <col min="9210" max="9210" width="7.33203125" style="4" bestFit="1" customWidth="1"/>
    <col min="9211" max="9211" width="5.6640625" style="4" bestFit="1" customWidth="1"/>
    <col min="9212" max="9212" width="10.77734375" style="4" bestFit="1" customWidth="1"/>
    <col min="9213" max="9213" width="7.33203125" style="4" bestFit="1" customWidth="1"/>
    <col min="9214" max="9214" width="5.33203125" style="4" customWidth="1"/>
    <col min="9215" max="9215" width="11" style="4" bestFit="1" customWidth="1"/>
    <col min="9216" max="9216" width="7.33203125" style="4" bestFit="1" customWidth="1"/>
    <col min="9217" max="9217" width="5.33203125" style="4" bestFit="1" customWidth="1"/>
    <col min="9218" max="9218" width="10.44140625" style="4" bestFit="1" customWidth="1"/>
    <col min="9219" max="9219" width="7.33203125" style="4" bestFit="1" customWidth="1"/>
    <col min="9220" max="9220" width="5.33203125" style="4" bestFit="1" customWidth="1"/>
    <col min="9221" max="9221" width="8" style="4" customWidth="1"/>
    <col min="9222" max="9222" width="7.33203125" style="4" bestFit="1" customWidth="1"/>
    <col min="9223" max="9453" width="8.88671875" style="4"/>
    <col min="9454" max="9454" width="4.21875" style="4" bestFit="1" customWidth="1"/>
    <col min="9455" max="9455" width="6.109375" style="4" bestFit="1" customWidth="1"/>
    <col min="9456" max="9456" width="5.5546875" style="4" bestFit="1" customWidth="1"/>
    <col min="9457" max="9457" width="24.109375" style="4" bestFit="1" customWidth="1"/>
    <col min="9458" max="9458" width="6.33203125" style="4" bestFit="1" customWidth="1"/>
    <col min="9459" max="9459" width="15.109375" style="4" bestFit="1" customWidth="1"/>
    <col min="9460" max="9460" width="14.109375" style="4" bestFit="1" customWidth="1"/>
    <col min="9461" max="9461" width="6.33203125" style="4" bestFit="1" customWidth="1"/>
    <col min="9462" max="9462" width="15.109375" style="4" bestFit="1" customWidth="1"/>
    <col min="9463" max="9463" width="7.33203125" style="4" bestFit="1" customWidth="1"/>
    <col min="9464" max="9464" width="5.6640625" style="4" bestFit="1" customWidth="1"/>
    <col min="9465" max="9465" width="14.88671875" style="4" bestFit="1" customWidth="1"/>
    <col min="9466" max="9466" width="7.33203125" style="4" bestFit="1" customWidth="1"/>
    <col min="9467" max="9467" width="5.6640625" style="4" bestFit="1" customWidth="1"/>
    <col min="9468" max="9468" width="10.77734375" style="4" bestFit="1" customWidth="1"/>
    <col min="9469" max="9469" width="7.33203125" style="4" bestFit="1" customWidth="1"/>
    <col min="9470" max="9470" width="5.33203125" style="4" customWidth="1"/>
    <col min="9471" max="9471" width="11" style="4" bestFit="1" customWidth="1"/>
    <col min="9472" max="9472" width="7.33203125" style="4" bestFit="1" customWidth="1"/>
    <col min="9473" max="9473" width="5.33203125" style="4" bestFit="1" customWidth="1"/>
    <col min="9474" max="9474" width="10.44140625" style="4" bestFit="1" customWidth="1"/>
    <col min="9475" max="9475" width="7.33203125" style="4" bestFit="1" customWidth="1"/>
    <col min="9476" max="9476" width="5.33203125" style="4" bestFit="1" customWidth="1"/>
    <col min="9477" max="9477" width="8" style="4" customWidth="1"/>
    <col min="9478" max="9478" width="7.33203125" style="4" bestFit="1" customWidth="1"/>
    <col min="9479" max="9709" width="8.88671875" style="4"/>
    <col min="9710" max="9710" width="4.21875" style="4" bestFit="1" customWidth="1"/>
    <col min="9711" max="9711" width="6.109375" style="4" bestFit="1" customWidth="1"/>
    <col min="9712" max="9712" width="5.5546875" style="4" bestFit="1" customWidth="1"/>
    <col min="9713" max="9713" width="24.109375" style="4" bestFit="1" customWidth="1"/>
    <col min="9714" max="9714" width="6.33203125" style="4" bestFit="1" customWidth="1"/>
    <col min="9715" max="9715" width="15.109375" style="4" bestFit="1" customWidth="1"/>
    <col min="9716" max="9716" width="14.109375" style="4" bestFit="1" customWidth="1"/>
    <col min="9717" max="9717" width="6.33203125" style="4" bestFit="1" customWidth="1"/>
    <col min="9718" max="9718" width="15.109375" style="4" bestFit="1" customWidth="1"/>
    <col min="9719" max="9719" width="7.33203125" style="4" bestFit="1" customWidth="1"/>
    <col min="9720" max="9720" width="5.6640625" style="4" bestFit="1" customWidth="1"/>
    <col min="9721" max="9721" width="14.88671875" style="4" bestFit="1" customWidth="1"/>
    <col min="9722" max="9722" width="7.33203125" style="4" bestFit="1" customWidth="1"/>
    <col min="9723" max="9723" width="5.6640625" style="4" bestFit="1" customWidth="1"/>
    <col min="9724" max="9724" width="10.77734375" style="4" bestFit="1" customWidth="1"/>
    <col min="9725" max="9725" width="7.33203125" style="4" bestFit="1" customWidth="1"/>
    <col min="9726" max="9726" width="5.33203125" style="4" customWidth="1"/>
    <col min="9727" max="9727" width="11" style="4" bestFit="1" customWidth="1"/>
    <col min="9728" max="9728" width="7.33203125" style="4" bestFit="1" customWidth="1"/>
    <col min="9729" max="9729" width="5.33203125" style="4" bestFit="1" customWidth="1"/>
    <col min="9730" max="9730" width="10.44140625" style="4" bestFit="1" customWidth="1"/>
    <col min="9731" max="9731" width="7.33203125" style="4" bestFit="1" customWidth="1"/>
    <col min="9732" max="9732" width="5.33203125" style="4" bestFit="1" customWidth="1"/>
    <col min="9733" max="9733" width="8" style="4" customWidth="1"/>
    <col min="9734" max="9734" width="7.33203125" style="4" bestFit="1" customWidth="1"/>
    <col min="9735" max="9965" width="8.88671875" style="4"/>
    <col min="9966" max="9966" width="4.21875" style="4" bestFit="1" customWidth="1"/>
    <col min="9967" max="9967" width="6.109375" style="4" bestFit="1" customWidth="1"/>
    <col min="9968" max="9968" width="5.5546875" style="4" bestFit="1" customWidth="1"/>
    <col min="9969" max="9969" width="24.109375" style="4" bestFit="1" customWidth="1"/>
    <col min="9970" max="9970" width="6.33203125" style="4" bestFit="1" customWidth="1"/>
    <col min="9971" max="9971" width="15.109375" style="4" bestFit="1" customWidth="1"/>
    <col min="9972" max="9972" width="14.109375" style="4" bestFit="1" customWidth="1"/>
    <col min="9973" max="9973" width="6.33203125" style="4" bestFit="1" customWidth="1"/>
    <col min="9974" max="9974" width="15.109375" style="4" bestFit="1" customWidth="1"/>
    <col min="9975" max="9975" width="7.33203125" style="4" bestFit="1" customWidth="1"/>
    <col min="9976" max="9976" width="5.6640625" style="4" bestFit="1" customWidth="1"/>
    <col min="9977" max="9977" width="14.88671875" style="4" bestFit="1" customWidth="1"/>
    <col min="9978" max="9978" width="7.33203125" style="4" bestFit="1" customWidth="1"/>
    <col min="9979" max="9979" width="5.6640625" style="4" bestFit="1" customWidth="1"/>
    <col min="9980" max="9980" width="10.77734375" style="4" bestFit="1" customWidth="1"/>
    <col min="9981" max="9981" width="7.33203125" style="4" bestFit="1" customWidth="1"/>
    <col min="9982" max="9982" width="5.33203125" style="4" customWidth="1"/>
    <col min="9983" max="9983" width="11" style="4" bestFit="1" customWidth="1"/>
    <col min="9984" max="9984" width="7.33203125" style="4" bestFit="1" customWidth="1"/>
    <col min="9985" max="9985" width="5.33203125" style="4" bestFit="1" customWidth="1"/>
    <col min="9986" max="9986" width="10.44140625" style="4" bestFit="1" customWidth="1"/>
    <col min="9987" max="9987" width="7.33203125" style="4" bestFit="1" customWidth="1"/>
    <col min="9988" max="9988" width="5.33203125" style="4" bestFit="1" customWidth="1"/>
    <col min="9989" max="9989" width="8" style="4" customWidth="1"/>
    <col min="9990" max="9990" width="7.33203125" style="4" bestFit="1" customWidth="1"/>
    <col min="9991" max="10221" width="8.88671875" style="4"/>
    <col min="10222" max="10222" width="4.21875" style="4" bestFit="1" customWidth="1"/>
    <col min="10223" max="10223" width="6.109375" style="4" bestFit="1" customWidth="1"/>
    <col min="10224" max="10224" width="5.5546875" style="4" bestFit="1" customWidth="1"/>
    <col min="10225" max="10225" width="24.109375" style="4" bestFit="1" customWidth="1"/>
    <col min="10226" max="10226" width="6.33203125" style="4" bestFit="1" customWidth="1"/>
    <col min="10227" max="10227" width="15.109375" style="4" bestFit="1" customWidth="1"/>
    <col min="10228" max="10228" width="14.109375" style="4" bestFit="1" customWidth="1"/>
    <col min="10229" max="10229" width="6.33203125" style="4" bestFit="1" customWidth="1"/>
    <col min="10230" max="10230" width="15.109375" style="4" bestFit="1" customWidth="1"/>
    <col min="10231" max="10231" width="7.33203125" style="4" bestFit="1" customWidth="1"/>
    <col min="10232" max="10232" width="5.6640625" style="4" bestFit="1" customWidth="1"/>
    <col min="10233" max="10233" width="14.88671875" style="4" bestFit="1" customWidth="1"/>
    <col min="10234" max="10234" width="7.33203125" style="4" bestFit="1" customWidth="1"/>
    <col min="10235" max="10235" width="5.6640625" style="4" bestFit="1" customWidth="1"/>
    <col min="10236" max="10236" width="10.77734375" style="4" bestFit="1" customWidth="1"/>
    <col min="10237" max="10237" width="7.33203125" style="4" bestFit="1" customWidth="1"/>
    <col min="10238" max="10238" width="5.33203125" style="4" customWidth="1"/>
    <col min="10239" max="10239" width="11" style="4" bestFit="1" customWidth="1"/>
    <col min="10240" max="10240" width="7.33203125" style="4" bestFit="1" customWidth="1"/>
    <col min="10241" max="10241" width="5.33203125" style="4" bestFit="1" customWidth="1"/>
    <col min="10242" max="10242" width="10.44140625" style="4" bestFit="1" customWidth="1"/>
    <col min="10243" max="10243" width="7.33203125" style="4" bestFit="1" customWidth="1"/>
    <col min="10244" max="10244" width="5.33203125" style="4" bestFit="1" customWidth="1"/>
    <col min="10245" max="10245" width="8" style="4" customWidth="1"/>
    <col min="10246" max="10246" width="7.33203125" style="4" bestFit="1" customWidth="1"/>
    <col min="10247" max="10477" width="8.88671875" style="4"/>
    <col min="10478" max="10478" width="4.21875" style="4" bestFit="1" customWidth="1"/>
    <col min="10479" max="10479" width="6.109375" style="4" bestFit="1" customWidth="1"/>
    <col min="10480" max="10480" width="5.5546875" style="4" bestFit="1" customWidth="1"/>
    <col min="10481" max="10481" width="24.109375" style="4" bestFit="1" customWidth="1"/>
    <col min="10482" max="10482" width="6.33203125" style="4" bestFit="1" customWidth="1"/>
    <col min="10483" max="10483" width="15.109375" style="4" bestFit="1" customWidth="1"/>
    <col min="10484" max="10484" width="14.109375" style="4" bestFit="1" customWidth="1"/>
    <col min="10485" max="10485" width="6.33203125" style="4" bestFit="1" customWidth="1"/>
    <col min="10486" max="10486" width="15.109375" style="4" bestFit="1" customWidth="1"/>
    <col min="10487" max="10487" width="7.33203125" style="4" bestFit="1" customWidth="1"/>
    <col min="10488" max="10488" width="5.6640625" style="4" bestFit="1" customWidth="1"/>
    <col min="10489" max="10489" width="14.88671875" style="4" bestFit="1" customWidth="1"/>
    <col min="10490" max="10490" width="7.33203125" style="4" bestFit="1" customWidth="1"/>
    <col min="10491" max="10491" width="5.6640625" style="4" bestFit="1" customWidth="1"/>
    <col min="10492" max="10492" width="10.77734375" style="4" bestFit="1" customWidth="1"/>
    <col min="10493" max="10493" width="7.33203125" style="4" bestFit="1" customWidth="1"/>
    <col min="10494" max="10494" width="5.33203125" style="4" customWidth="1"/>
    <col min="10495" max="10495" width="11" style="4" bestFit="1" customWidth="1"/>
    <col min="10496" max="10496" width="7.33203125" style="4" bestFit="1" customWidth="1"/>
    <col min="10497" max="10497" width="5.33203125" style="4" bestFit="1" customWidth="1"/>
    <col min="10498" max="10498" width="10.44140625" style="4" bestFit="1" customWidth="1"/>
    <col min="10499" max="10499" width="7.33203125" style="4" bestFit="1" customWidth="1"/>
    <col min="10500" max="10500" width="5.33203125" style="4" bestFit="1" customWidth="1"/>
    <col min="10501" max="10501" width="8" style="4" customWidth="1"/>
    <col min="10502" max="10502" width="7.33203125" style="4" bestFit="1" customWidth="1"/>
    <col min="10503" max="10733" width="8.88671875" style="4"/>
    <col min="10734" max="10734" width="4.21875" style="4" bestFit="1" customWidth="1"/>
    <col min="10735" max="10735" width="6.109375" style="4" bestFit="1" customWidth="1"/>
    <col min="10736" max="10736" width="5.5546875" style="4" bestFit="1" customWidth="1"/>
    <col min="10737" max="10737" width="24.109375" style="4" bestFit="1" customWidth="1"/>
    <col min="10738" max="10738" width="6.33203125" style="4" bestFit="1" customWidth="1"/>
    <col min="10739" max="10739" width="15.109375" style="4" bestFit="1" customWidth="1"/>
    <col min="10740" max="10740" width="14.109375" style="4" bestFit="1" customWidth="1"/>
    <col min="10741" max="10741" width="6.33203125" style="4" bestFit="1" customWidth="1"/>
    <col min="10742" max="10742" width="15.109375" style="4" bestFit="1" customWidth="1"/>
    <col min="10743" max="10743" width="7.33203125" style="4" bestFit="1" customWidth="1"/>
    <col min="10744" max="10744" width="5.6640625" style="4" bestFit="1" customWidth="1"/>
    <col min="10745" max="10745" width="14.88671875" style="4" bestFit="1" customWidth="1"/>
    <col min="10746" max="10746" width="7.33203125" style="4" bestFit="1" customWidth="1"/>
    <col min="10747" max="10747" width="5.6640625" style="4" bestFit="1" customWidth="1"/>
    <col min="10748" max="10748" width="10.77734375" style="4" bestFit="1" customWidth="1"/>
    <col min="10749" max="10749" width="7.33203125" style="4" bestFit="1" customWidth="1"/>
    <col min="10750" max="10750" width="5.33203125" style="4" customWidth="1"/>
    <col min="10751" max="10751" width="11" style="4" bestFit="1" customWidth="1"/>
    <col min="10752" max="10752" width="7.33203125" style="4" bestFit="1" customWidth="1"/>
    <col min="10753" max="10753" width="5.33203125" style="4" bestFit="1" customWidth="1"/>
    <col min="10754" max="10754" width="10.44140625" style="4" bestFit="1" customWidth="1"/>
    <col min="10755" max="10755" width="7.33203125" style="4" bestFit="1" customWidth="1"/>
    <col min="10756" max="10756" width="5.33203125" style="4" bestFit="1" customWidth="1"/>
    <col min="10757" max="10757" width="8" style="4" customWidth="1"/>
    <col min="10758" max="10758" width="7.33203125" style="4" bestFit="1" customWidth="1"/>
    <col min="10759" max="10989" width="8.88671875" style="4"/>
    <col min="10990" max="10990" width="4.21875" style="4" bestFit="1" customWidth="1"/>
    <col min="10991" max="10991" width="6.109375" style="4" bestFit="1" customWidth="1"/>
    <col min="10992" max="10992" width="5.5546875" style="4" bestFit="1" customWidth="1"/>
    <col min="10993" max="10993" width="24.109375" style="4" bestFit="1" customWidth="1"/>
    <col min="10994" max="10994" width="6.33203125" style="4" bestFit="1" customWidth="1"/>
    <col min="10995" max="10995" width="15.109375" style="4" bestFit="1" customWidth="1"/>
    <col min="10996" max="10996" width="14.109375" style="4" bestFit="1" customWidth="1"/>
    <col min="10997" max="10997" width="6.33203125" style="4" bestFit="1" customWidth="1"/>
    <col min="10998" max="10998" width="15.109375" style="4" bestFit="1" customWidth="1"/>
    <col min="10999" max="10999" width="7.33203125" style="4" bestFit="1" customWidth="1"/>
    <col min="11000" max="11000" width="5.6640625" style="4" bestFit="1" customWidth="1"/>
    <col min="11001" max="11001" width="14.88671875" style="4" bestFit="1" customWidth="1"/>
    <col min="11002" max="11002" width="7.33203125" style="4" bestFit="1" customWidth="1"/>
    <col min="11003" max="11003" width="5.6640625" style="4" bestFit="1" customWidth="1"/>
    <col min="11004" max="11004" width="10.77734375" style="4" bestFit="1" customWidth="1"/>
    <col min="11005" max="11005" width="7.33203125" style="4" bestFit="1" customWidth="1"/>
    <col min="11006" max="11006" width="5.33203125" style="4" customWidth="1"/>
    <col min="11007" max="11007" width="11" style="4" bestFit="1" customWidth="1"/>
    <col min="11008" max="11008" width="7.33203125" style="4" bestFit="1" customWidth="1"/>
    <col min="11009" max="11009" width="5.33203125" style="4" bestFit="1" customWidth="1"/>
    <col min="11010" max="11010" width="10.44140625" style="4" bestFit="1" customWidth="1"/>
    <col min="11011" max="11011" width="7.33203125" style="4" bestFit="1" customWidth="1"/>
    <col min="11012" max="11012" width="5.33203125" style="4" bestFit="1" customWidth="1"/>
    <col min="11013" max="11013" width="8" style="4" customWidth="1"/>
    <col min="11014" max="11014" width="7.33203125" style="4" bestFit="1" customWidth="1"/>
    <col min="11015" max="11245" width="8.88671875" style="4"/>
    <col min="11246" max="11246" width="4.21875" style="4" bestFit="1" customWidth="1"/>
    <col min="11247" max="11247" width="6.109375" style="4" bestFit="1" customWidth="1"/>
    <col min="11248" max="11248" width="5.5546875" style="4" bestFit="1" customWidth="1"/>
    <col min="11249" max="11249" width="24.109375" style="4" bestFit="1" customWidth="1"/>
    <col min="11250" max="11250" width="6.33203125" style="4" bestFit="1" customWidth="1"/>
    <col min="11251" max="11251" width="15.109375" style="4" bestFit="1" customWidth="1"/>
    <col min="11252" max="11252" width="14.109375" style="4" bestFit="1" customWidth="1"/>
    <col min="11253" max="11253" width="6.33203125" style="4" bestFit="1" customWidth="1"/>
    <col min="11254" max="11254" width="15.109375" style="4" bestFit="1" customWidth="1"/>
    <col min="11255" max="11255" width="7.33203125" style="4" bestFit="1" customWidth="1"/>
    <col min="11256" max="11256" width="5.6640625" style="4" bestFit="1" customWidth="1"/>
    <col min="11257" max="11257" width="14.88671875" style="4" bestFit="1" customWidth="1"/>
    <col min="11258" max="11258" width="7.33203125" style="4" bestFit="1" customWidth="1"/>
    <col min="11259" max="11259" width="5.6640625" style="4" bestFit="1" customWidth="1"/>
    <col min="11260" max="11260" width="10.77734375" style="4" bestFit="1" customWidth="1"/>
    <col min="11261" max="11261" width="7.33203125" style="4" bestFit="1" customWidth="1"/>
    <col min="11262" max="11262" width="5.33203125" style="4" customWidth="1"/>
    <col min="11263" max="11263" width="11" style="4" bestFit="1" customWidth="1"/>
    <col min="11264" max="11264" width="7.33203125" style="4" bestFit="1" customWidth="1"/>
    <col min="11265" max="11265" width="5.33203125" style="4" bestFit="1" customWidth="1"/>
    <col min="11266" max="11266" width="10.44140625" style="4" bestFit="1" customWidth="1"/>
    <col min="11267" max="11267" width="7.33203125" style="4" bestFit="1" customWidth="1"/>
    <col min="11268" max="11268" width="5.33203125" style="4" bestFit="1" customWidth="1"/>
    <col min="11269" max="11269" width="8" style="4" customWidth="1"/>
    <col min="11270" max="11270" width="7.33203125" style="4" bestFit="1" customWidth="1"/>
    <col min="11271" max="11501" width="8.88671875" style="4"/>
    <col min="11502" max="11502" width="4.21875" style="4" bestFit="1" customWidth="1"/>
    <col min="11503" max="11503" width="6.109375" style="4" bestFit="1" customWidth="1"/>
    <col min="11504" max="11504" width="5.5546875" style="4" bestFit="1" customWidth="1"/>
    <col min="11505" max="11505" width="24.109375" style="4" bestFit="1" customWidth="1"/>
    <col min="11506" max="11506" width="6.33203125" style="4" bestFit="1" customWidth="1"/>
    <col min="11507" max="11507" width="15.109375" style="4" bestFit="1" customWidth="1"/>
    <col min="11508" max="11508" width="14.109375" style="4" bestFit="1" customWidth="1"/>
    <col min="11509" max="11509" width="6.33203125" style="4" bestFit="1" customWidth="1"/>
    <col min="11510" max="11510" width="15.109375" style="4" bestFit="1" customWidth="1"/>
    <col min="11511" max="11511" width="7.33203125" style="4" bestFit="1" customWidth="1"/>
    <col min="11512" max="11512" width="5.6640625" style="4" bestFit="1" customWidth="1"/>
    <col min="11513" max="11513" width="14.88671875" style="4" bestFit="1" customWidth="1"/>
    <col min="11514" max="11514" width="7.33203125" style="4" bestFit="1" customWidth="1"/>
    <col min="11515" max="11515" width="5.6640625" style="4" bestFit="1" customWidth="1"/>
    <col min="11516" max="11516" width="10.77734375" style="4" bestFit="1" customWidth="1"/>
    <col min="11517" max="11517" width="7.33203125" style="4" bestFit="1" customWidth="1"/>
    <col min="11518" max="11518" width="5.33203125" style="4" customWidth="1"/>
    <col min="11519" max="11519" width="11" style="4" bestFit="1" customWidth="1"/>
    <col min="11520" max="11520" width="7.33203125" style="4" bestFit="1" customWidth="1"/>
    <col min="11521" max="11521" width="5.33203125" style="4" bestFit="1" customWidth="1"/>
    <col min="11522" max="11522" width="10.44140625" style="4" bestFit="1" customWidth="1"/>
    <col min="11523" max="11523" width="7.33203125" style="4" bestFit="1" customWidth="1"/>
    <col min="11524" max="11524" width="5.33203125" style="4" bestFit="1" customWidth="1"/>
    <col min="11525" max="11525" width="8" style="4" customWidth="1"/>
    <col min="11526" max="11526" width="7.33203125" style="4" bestFit="1" customWidth="1"/>
    <col min="11527" max="11757" width="8.88671875" style="4"/>
    <col min="11758" max="11758" width="4.21875" style="4" bestFit="1" customWidth="1"/>
    <col min="11759" max="11759" width="6.109375" style="4" bestFit="1" customWidth="1"/>
    <col min="11760" max="11760" width="5.5546875" style="4" bestFit="1" customWidth="1"/>
    <col min="11761" max="11761" width="24.109375" style="4" bestFit="1" customWidth="1"/>
    <col min="11762" max="11762" width="6.33203125" style="4" bestFit="1" customWidth="1"/>
    <col min="11763" max="11763" width="15.109375" style="4" bestFit="1" customWidth="1"/>
    <col min="11764" max="11764" width="14.109375" style="4" bestFit="1" customWidth="1"/>
    <col min="11765" max="11765" width="6.33203125" style="4" bestFit="1" customWidth="1"/>
    <col min="11766" max="11766" width="15.109375" style="4" bestFit="1" customWidth="1"/>
    <col min="11767" max="11767" width="7.33203125" style="4" bestFit="1" customWidth="1"/>
    <col min="11768" max="11768" width="5.6640625" style="4" bestFit="1" customWidth="1"/>
    <col min="11769" max="11769" width="14.88671875" style="4" bestFit="1" customWidth="1"/>
    <col min="11770" max="11770" width="7.33203125" style="4" bestFit="1" customWidth="1"/>
    <col min="11771" max="11771" width="5.6640625" style="4" bestFit="1" customWidth="1"/>
    <col min="11772" max="11772" width="10.77734375" style="4" bestFit="1" customWidth="1"/>
    <col min="11773" max="11773" width="7.33203125" style="4" bestFit="1" customWidth="1"/>
    <col min="11774" max="11774" width="5.33203125" style="4" customWidth="1"/>
    <col min="11775" max="11775" width="11" style="4" bestFit="1" customWidth="1"/>
    <col min="11776" max="11776" width="7.33203125" style="4" bestFit="1" customWidth="1"/>
    <col min="11777" max="11777" width="5.33203125" style="4" bestFit="1" customWidth="1"/>
    <col min="11778" max="11778" width="10.44140625" style="4" bestFit="1" customWidth="1"/>
    <col min="11779" max="11779" width="7.33203125" style="4" bestFit="1" customWidth="1"/>
    <col min="11780" max="11780" width="5.33203125" style="4" bestFit="1" customWidth="1"/>
    <col min="11781" max="11781" width="8" style="4" customWidth="1"/>
    <col min="11782" max="11782" width="7.33203125" style="4" bestFit="1" customWidth="1"/>
    <col min="11783" max="12013" width="8.88671875" style="4"/>
    <col min="12014" max="12014" width="4.21875" style="4" bestFit="1" customWidth="1"/>
    <col min="12015" max="12015" width="6.109375" style="4" bestFit="1" customWidth="1"/>
    <col min="12016" max="12016" width="5.5546875" style="4" bestFit="1" customWidth="1"/>
    <col min="12017" max="12017" width="24.109375" style="4" bestFit="1" customWidth="1"/>
    <col min="12018" max="12018" width="6.33203125" style="4" bestFit="1" customWidth="1"/>
    <col min="12019" max="12019" width="15.109375" style="4" bestFit="1" customWidth="1"/>
    <col min="12020" max="12020" width="14.109375" style="4" bestFit="1" customWidth="1"/>
    <col min="12021" max="12021" width="6.33203125" style="4" bestFit="1" customWidth="1"/>
    <col min="12022" max="12022" width="15.109375" style="4" bestFit="1" customWidth="1"/>
    <col min="12023" max="12023" width="7.33203125" style="4" bestFit="1" customWidth="1"/>
    <col min="12024" max="12024" width="5.6640625" style="4" bestFit="1" customWidth="1"/>
    <col min="12025" max="12025" width="14.88671875" style="4" bestFit="1" customWidth="1"/>
    <col min="12026" max="12026" width="7.33203125" style="4" bestFit="1" customWidth="1"/>
    <col min="12027" max="12027" width="5.6640625" style="4" bestFit="1" customWidth="1"/>
    <col min="12028" max="12028" width="10.77734375" style="4" bestFit="1" customWidth="1"/>
    <col min="12029" max="12029" width="7.33203125" style="4" bestFit="1" customWidth="1"/>
    <col min="12030" max="12030" width="5.33203125" style="4" customWidth="1"/>
    <col min="12031" max="12031" width="11" style="4" bestFit="1" customWidth="1"/>
    <col min="12032" max="12032" width="7.33203125" style="4" bestFit="1" customWidth="1"/>
    <col min="12033" max="12033" width="5.33203125" style="4" bestFit="1" customWidth="1"/>
    <col min="12034" max="12034" width="10.44140625" style="4" bestFit="1" customWidth="1"/>
    <col min="12035" max="12035" width="7.33203125" style="4" bestFit="1" customWidth="1"/>
    <col min="12036" max="12036" width="5.33203125" style="4" bestFit="1" customWidth="1"/>
    <col min="12037" max="12037" width="8" style="4" customWidth="1"/>
    <col min="12038" max="12038" width="7.33203125" style="4" bestFit="1" customWidth="1"/>
    <col min="12039" max="12269" width="8.88671875" style="4"/>
    <col min="12270" max="12270" width="4.21875" style="4" bestFit="1" customWidth="1"/>
    <col min="12271" max="12271" width="6.109375" style="4" bestFit="1" customWidth="1"/>
    <col min="12272" max="12272" width="5.5546875" style="4" bestFit="1" customWidth="1"/>
    <col min="12273" max="12273" width="24.109375" style="4" bestFit="1" customWidth="1"/>
    <col min="12274" max="12274" width="6.33203125" style="4" bestFit="1" customWidth="1"/>
    <col min="12275" max="12275" width="15.109375" style="4" bestFit="1" customWidth="1"/>
    <col min="12276" max="12276" width="14.109375" style="4" bestFit="1" customWidth="1"/>
    <col min="12277" max="12277" width="6.33203125" style="4" bestFit="1" customWidth="1"/>
    <col min="12278" max="12278" width="15.109375" style="4" bestFit="1" customWidth="1"/>
    <col min="12279" max="12279" width="7.33203125" style="4" bestFit="1" customWidth="1"/>
    <col min="12280" max="12280" width="5.6640625" style="4" bestFit="1" customWidth="1"/>
    <col min="12281" max="12281" width="14.88671875" style="4" bestFit="1" customWidth="1"/>
    <col min="12282" max="12282" width="7.33203125" style="4" bestFit="1" customWidth="1"/>
    <col min="12283" max="12283" width="5.6640625" style="4" bestFit="1" customWidth="1"/>
    <col min="12284" max="12284" width="10.77734375" style="4" bestFit="1" customWidth="1"/>
    <col min="12285" max="12285" width="7.33203125" style="4" bestFit="1" customWidth="1"/>
    <col min="12286" max="12286" width="5.33203125" style="4" customWidth="1"/>
    <col min="12287" max="12287" width="11" style="4" bestFit="1" customWidth="1"/>
    <col min="12288" max="12288" width="7.33203125" style="4" bestFit="1" customWidth="1"/>
    <col min="12289" max="12289" width="5.33203125" style="4" bestFit="1" customWidth="1"/>
    <col min="12290" max="12290" width="10.44140625" style="4" bestFit="1" customWidth="1"/>
    <col min="12291" max="12291" width="7.33203125" style="4" bestFit="1" customWidth="1"/>
    <col min="12292" max="12292" width="5.33203125" style="4" bestFit="1" customWidth="1"/>
    <col min="12293" max="12293" width="8" style="4" customWidth="1"/>
    <col min="12294" max="12294" width="7.33203125" style="4" bestFit="1" customWidth="1"/>
    <col min="12295" max="12525" width="8.88671875" style="4"/>
    <col min="12526" max="12526" width="4.21875" style="4" bestFit="1" customWidth="1"/>
    <col min="12527" max="12527" width="6.109375" style="4" bestFit="1" customWidth="1"/>
    <col min="12528" max="12528" width="5.5546875" style="4" bestFit="1" customWidth="1"/>
    <col min="12529" max="12529" width="24.109375" style="4" bestFit="1" customWidth="1"/>
    <col min="12530" max="12530" width="6.33203125" style="4" bestFit="1" customWidth="1"/>
    <col min="12531" max="12531" width="15.109375" style="4" bestFit="1" customWidth="1"/>
    <col min="12532" max="12532" width="14.109375" style="4" bestFit="1" customWidth="1"/>
    <col min="12533" max="12533" width="6.33203125" style="4" bestFit="1" customWidth="1"/>
    <col min="12534" max="12534" width="15.109375" style="4" bestFit="1" customWidth="1"/>
    <col min="12535" max="12535" width="7.33203125" style="4" bestFit="1" customWidth="1"/>
    <col min="12536" max="12536" width="5.6640625" style="4" bestFit="1" customWidth="1"/>
    <col min="12537" max="12537" width="14.88671875" style="4" bestFit="1" customWidth="1"/>
    <col min="12538" max="12538" width="7.33203125" style="4" bestFit="1" customWidth="1"/>
    <col min="12539" max="12539" width="5.6640625" style="4" bestFit="1" customWidth="1"/>
    <col min="12540" max="12540" width="10.77734375" style="4" bestFit="1" customWidth="1"/>
    <col min="12541" max="12541" width="7.33203125" style="4" bestFit="1" customWidth="1"/>
    <col min="12542" max="12542" width="5.33203125" style="4" customWidth="1"/>
    <col min="12543" max="12543" width="11" style="4" bestFit="1" customWidth="1"/>
    <col min="12544" max="12544" width="7.33203125" style="4" bestFit="1" customWidth="1"/>
    <col min="12545" max="12545" width="5.33203125" style="4" bestFit="1" customWidth="1"/>
    <col min="12546" max="12546" width="10.44140625" style="4" bestFit="1" customWidth="1"/>
    <col min="12547" max="12547" width="7.33203125" style="4" bestFit="1" customWidth="1"/>
    <col min="12548" max="12548" width="5.33203125" style="4" bestFit="1" customWidth="1"/>
    <col min="12549" max="12549" width="8" style="4" customWidth="1"/>
    <col min="12550" max="12550" width="7.33203125" style="4" bestFit="1" customWidth="1"/>
    <col min="12551" max="12781" width="8.88671875" style="4"/>
    <col min="12782" max="12782" width="4.21875" style="4" bestFit="1" customWidth="1"/>
    <col min="12783" max="12783" width="6.109375" style="4" bestFit="1" customWidth="1"/>
    <col min="12784" max="12784" width="5.5546875" style="4" bestFit="1" customWidth="1"/>
    <col min="12785" max="12785" width="24.109375" style="4" bestFit="1" customWidth="1"/>
    <col min="12786" max="12786" width="6.33203125" style="4" bestFit="1" customWidth="1"/>
    <col min="12787" max="12787" width="15.109375" style="4" bestFit="1" customWidth="1"/>
    <col min="12788" max="12788" width="14.109375" style="4" bestFit="1" customWidth="1"/>
    <col min="12789" max="12789" width="6.33203125" style="4" bestFit="1" customWidth="1"/>
    <col min="12790" max="12790" width="15.109375" style="4" bestFit="1" customWidth="1"/>
    <col min="12791" max="12791" width="7.33203125" style="4" bestFit="1" customWidth="1"/>
    <col min="12792" max="12792" width="5.6640625" style="4" bestFit="1" customWidth="1"/>
    <col min="12793" max="12793" width="14.88671875" style="4" bestFit="1" customWidth="1"/>
    <col min="12794" max="12794" width="7.33203125" style="4" bestFit="1" customWidth="1"/>
    <col min="12795" max="12795" width="5.6640625" style="4" bestFit="1" customWidth="1"/>
    <col min="12796" max="12796" width="10.77734375" style="4" bestFit="1" customWidth="1"/>
    <col min="12797" max="12797" width="7.33203125" style="4" bestFit="1" customWidth="1"/>
    <col min="12798" max="12798" width="5.33203125" style="4" customWidth="1"/>
    <col min="12799" max="12799" width="11" style="4" bestFit="1" customWidth="1"/>
    <col min="12800" max="12800" width="7.33203125" style="4" bestFit="1" customWidth="1"/>
    <col min="12801" max="12801" width="5.33203125" style="4" bestFit="1" customWidth="1"/>
    <col min="12802" max="12802" width="10.44140625" style="4" bestFit="1" customWidth="1"/>
    <col min="12803" max="12803" width="7.33203125" style="4" bestFit="1" customWidth="1"/>
    <col min="12804" max="12804" width="5.33203125" style="4" bestFit="1" customWidth="1"/>
    <col min="12805" max="12805" width="8" style="4" customWidth="1"/>
    <col min="12806" max="12806" width="7.33203125" style="4" bestFit="1" customWidth="1"/>
    <col min="12807" max="13037" width="8.88671875" style="4"/>
    <col min="13038" max="13038" width="4.21875" style="4" bestFit="1" customWidth="1"/>
    <col min="13039" max="13039" width="6.109375" style="4" bestFit="1" customWidth="1"/>
    <col min="13040" max="13040" width="5.5546875" style="4" bestFit="1" customWidth="1"/>
    <col min="13041" max="13041" width="24.109375" style="4" bestFit="1" customWidth="1"/>
    <col min="13042" max="13042" width="6.33203125" style="4" bestFit="1" customWidth="1"/>
    <col min="13043" max="13043" width="15.109375" style="4" bestFit="1" customWidth="1"/>
    <col min="13044" max="13044" width="14.109375" style="4" bestFit="1" customWidth="1"/>
    <col min="13045" max="13045" width="6.33203125" style="4" bestFit="1" customWidth="1"/>
    <col min="13046" max="13046" width="15.109375" style="4" bestFit="1" customWidth="1"/>
    <col min="13047" max="13047" width="7.33203125" style="4" bestFit="1" customWidth="1"/>
    <col min="13048" max="13048" width="5.6640625" style="4" bestFit="1" customWidth="1"/>
    <col min="13049" max="13049" width="14.88671875" style="4" bestFit="1" customWidth="1"/>
    <col min="13050" max="13050" width="7.33203125" style="4" bestFit="1" customWidth="1"/>
    <col min="13051" max="13051" width="5.6640625" style="4" bestFit="1" customWidth="1"/>
    <col min="13052" max="13052" width="10.77734375" style="4" bestFit="1" customWidth="1"/>
    <col min="13053" max="13053" width="7.33203125" style="4" bestFit="1" customWidth="1"/>
    <col min="13054" max="13054" width="5.33203125" style="4" customWidth="1"/>
    <col min="13055" max="13055" width="11" style="4" bestFit="1" customWidth="1"/>
    <col min="13056" max="13056" width="7.33203125" style="4" bestFit="1" customWidth="1"/>
    <col min="13057" max="13057" width="5.33203125" style="4" bestFit="1" customWidth="1"/>
    <col min="13058" max="13058" width="10.44140625" style="4" bestFit="1" customWidth="1"/>
    <col min="13059" max="13059" width="7.33203125" style="4" bestFit="1" customWidth="1"/>
    <col min="13060" max="13060" width="5.33203125" style="4" bestFit="1" customWidth="1"/>
    <col min="13061" max="13061" width="8" style="4" customWidth="1"/>
    <col min="13062" max="13062" width="7.33203125" style="4" bestFit="1" customWidth="1"/>
    <col min="13063" max="13293" width="8.88671875" style="4"/>
    <col min="13294" max="13294" width="4.21875" style="4" bestFit="1" customWidth="1"/>
    <col min="13295" max="13295" width="6.109375" style="4" bestFit="1" customWidth="1"/>
    <col min="13296" max="13296" width="5.5546875" style="4" bestFit="1" customWidth="1"/>
    <col min="13297" max="13297" width="24.109375" style="4" bestFit="1" customWidth="1"/>
    <col min="13298" max="13298" width="6.33203125" style="4" bestFit="1" customWidth="1"/>
    <col min="13299" max="13299" width="15.109375" style="4" bestFit="1" customWidth="1"/>
    <col min="13300" max="13300" width="14.109375" style="4" bestFit="1" customWidth="1"/>
    <col min="13301" max="13301" width="6.33203125" style="4" bestFit="1" customWidth="1"/>
    <col min="13302" max="13302" width="15.109375" style="4" bestFit="1" customWidth="1"/>
    <col min="13303" max="13303" width="7.33203125" style="4" bestFit="1" customWidth="1"/>
    <col min="13304" max="13304" width="5.6640625" style="4" bestFit="1" customWidth="1"/>
    <col min="13305" max="13305" width="14.88671875" style="4" bestFit="1" customWidth="1"/>
    <col min="13306" max="13306" width="7.33203125" style="4" bestFit="1" customWidth="1"/>
    <col min="13307" max="13307" width="5.6640625" style="4" bestFit="1" customWidth="1"/>
    <col min="13308" max="13308" width="10.77734375" style="4" bestFit="1" customWidth="1"/>
    <col min="13309" max="13309" width="7.33203125" style="4" bestFit="1" customWidth="1"/>
    <col min="13310" max="13310" width="5.33203125" style="4" customWidth="1"/>
    <col min="13311" max="13311" width="11" style="4" bestFit="1" customWidth="1"/>
    <col min="13312" max="13312" width="7.33203125" style="4" bestFit="1" customWidth="1"/>
    <col min="13313" max="13313" width="5.33203125" style="4" bestFit="1" customWidth="1"/>
    <col min="13314" max="13314" width="10.44140625" style="4" bestFit="1" customWidth="1"/>
    <col min="13315" max="13315" width="7.33203125" style="4" bestFit="1" customWidth="1"/>
    <col min="13316" max="13316" width="5.33203125" style="4" bestFit="1" customWidth="1"/>
    <col min="13317" max="13317" width="8" style="4" customWidth="1"/>
    <col min="13318" max="13318" width="7.33203125" style="4" bestFit="1" customWidth="1"/>
    <col min="13319" max="13549" width="8.88671875" style="4"/>
    <col min="13550" max="13550" width="4.21875" style="4" bestFit="1" customWidth="1"/>
    <col min="13551" max="13551" width="6.109375" style="4" bestFit="1" customWidth="1"/>
    <col min="13552" max="13552" width="5.5546875" style="4" bestFit="1" customWidth="1"/>
    <col min="13553" max="13553" width="24.109375" style="4" bestFit="1" customWidth="1"/>
    <col min="13554" max="13554" width="6.33203125" style="4" bestFit="1" customWidth="1"/>
    <col min="13555" max="13555" width="15.109375" style="4" bestFit="1" customWidth="1"/>
    <col min="13556" max="13556" width="14.109375" style="4" bestFit="1" customWidth="1"/>
    <col min="13557" max="13557" width="6.33203125" style="4" bestFit="1" customWidth="1"/>
    <col min="13558" max="13558" width="15.109375" style="4" bestFit="1" customWidth="1"/>
    <col min="13559" max="13559" width="7.33203125" style="4" bestFit="1" customWidth="1"/>
    <col min="13560" max="13560" width="5.6640625" style="4" bestFit="1" customWidth="1"/>
    <col min="13561" max="13561" width="14.88671875" style="4" bestFit="1" customWidth="1"/>
    <col min="13562" max="13562" width="7.33203125" style="4" bestFit="1" customWidth="1"/>
    <col min="13563" max="13563" width="5.6640625" style="4" bestFit="1" customWidth="1"/>
    <col min="13564" max="13564" width="10.77734375" style="4" bestFit="1" customWidth="1"/>
    <col min="13565" max="13565" width="7.33203125" style="4" bestFit="1" customWidth="1"/>
    <col min="13566" max="13566" width="5.33203125" style="4" customWidth="1"/>
    <col min="13567" max="13567" width="11" style="4" bestFit="1" customWidth="1"/>
    <col min="13568" max="13568" width="7.33203125" style="4" bestFit="1" customWidth="1"/>
    <col min="13569" max="13569" width="5.33203125" style="4" bestFit="1" customWidth="1"/>
    <col min="13570" max="13570" width="10.44140625" style="4" bestFit="1" customWidth="1"/>
    <col min="13571" max="13571" width="7.33203125" style="4" bestFit="1" customWidth="1"/>
    <col min="13572" max="13572" width="5.33203125" style="4" bestFit="1" customWidth="1"/>
    <col min="13573" max="13573" width="8" style="4" customWidth="1"/>
    <col min="13574" max="13574" width="7.33203125" style="4" bestFit="1" customWidth="1"/>
    <col min="13575" max="13805" width="8.88671875" style="4"/>
    <col min="13806" max="13806" width="4.21875" style="4" bestFit="1" customWidth="1"/>
    <col min="13807" max="13807" width="6.109375" style="4" bestFit="1" customWidth="1"/>
    <col min="13808" max="13808" width="5.5546875" style="4" bestFit="1" customWidth="1"/>
    <col min="13809" max="13809" width="24.109375" style="4" bestFit="1" customWidth="1"/>
    <col min="13810" max="13810" width="6.33203125" style="4" bestFit="1" customWidth="1"/>
    <col min="13811" max="13811" width="15.109375" style="4" bestFit="1" customWidth="1"/>
    <col min="13812" max="13812" width="14.109375" style="4" bestFit="1" customWidth="1"/>
    <col min="13813" max="13813" width="6.33203125" style="4" bestFit="1" customWidth="1"/>
    <col min="13814" max="13814" width="15.109375" style="4" bestFit="1" customWidth="1"/>
    <col min="13815" max="13815" width="7.33203125" style="4" bestFit="1" customWidth="1"/>
    <col min="13816" max="13816" width="5.6640625" style="4" bestFit="1" customWidth="1"/>
    <col min="13817" max="13817" width="14.88671875" style="4" bestFit="1" customWidth="1"/>
    <col min="13818" max="13818" width="7.33203125" style="4" bestFit="1" customWidth="1"/>
    <col min="13819" max="13819" width="5.6640625" style="4" bestFit="1" customWidth="1"/>
    <col min="13820" max="13820" width="10.77734375" style="4" bestFit="1" customWidth="1"/>
    <col min="13821" max="13821" width="7.33203125" style="4" bestFit="1" customWidth="1"/>
    <col min="13822" max="13822" width="5.33203125" style="4" customWidth="1"/>
    <col min="13823" max="13823" width="11" style="4" bestFit="1" customWidth="1"/>
    <col min="13824" max="13824" width="7.33203125" style="4" bestFit="1" customWidth="1"/>
    <col min="13825" max="13825" width="5.33203125" style="4" bestFit="1" customWidth="1"/>
    <col min="13826" max="13826" width="10.44140625" style="4" bestFit="1" customWidth="1"/>
    <col min="13827" max="13827" width="7.33203125" style="4" bestFit="1" customWidth="1"/>
    <col min="13828" max="13828" width="5.33203125" style="4" bestFit="1" customWidth="1"/>
    <col min="13829" max="13829" width="8" style="4" customWidth="1"/>
    <col min="13830" max="13830" width="7.33203125" style="4" bestFit="1" customWidth="1"/>
    <col min="13831" max="14061" width="8.88671875" style="4"/>
    <col min="14062" max="14062" width="4.21875" style="4" bestFit="1" customWidth="1"/>
    <col min="14063" max="14063" width="6.109375" style="4" bestFit="1" customWidth="1"/>
    <col min="14064" max="14064" width="5.5546875" style="4" bestFit="1" customWidth="1"/>
    <col min="14065" max="14065" width="24.109375" style="4" bestFit="1" customWidth="1"/>
    <col min="14066" max="14066" width="6.33203125" style="4" bestFit="1" customWidth="1"/>
    <col min="14067" max="14067" width="15.109375" style="4" bestFit="1" customWidth="1"/>
    <col min="14068" max="14068" width="14.109375" style="4" bestFit="1" customWidth="1"/>
    <col min="14069" max="14069" width="6.33203125" style="4" bestFit="1" customWidth="1"/>
    <col min="14070" max="14070" width="15.109375" style="4" bestFit="1" customWidth="1"/>
    <col min="14071" max="14071" width="7.33203125" style="4" bestFit="1" customWidth="1"/>
    <col min="14072" max="14072" width="5.6640625" style="4" bestFit="1" customWidth="1"/>
    <col min="14073" max="14073" width="14.88671875" style="4" bestFit="1" customWidth="1"/>
    <col min="14074" max="14074" width="7.33203125" style="4" bestFit="1" customWidth="1"/>
    <col min="14075" max="14075" width="5.6640625" style="4" bestFit="1" customWidth="1"/>
    <col min="14076" max="14076" width="10.77734375" style="4" bestFit="1" customWidth="1"/>
    <col min="14077" max="14077" width="7.33203125" style="4" bestFit="1" customWidth="1"/>
    <col min="14078" max="14078" width="5.33203125" style="4" customWidth="1"/>
    <col min="14079" max="14079" width="11" style="4" bestFit="1" customWidth="1"/>
    <col min="14080" max="14080" width="7.33203125" style="4" bestFit="1" customWidth="1"/>
    <col min="14081" max="14081" width="5.33203125" style="4" bestFit="1" customWidth="1"/>
    <col min="14082" max="14082" width="10.44140625" style="4" bestFit="1" customWidth="1"/>
    <col min="14083" max="14083" width="7.33203125" style="4" bestFit="1" customWidth="1"/>
    <col min="14084" max="14084" width="5.33203125" style="4" bestFit="1" customWidth="1"/>
    <col min="14085" max="14085" width="8" style="4" customWidth="1"/>
    <col min="14086" max="14086" width="7.33203125" style="4" bestFit="1" customWidth="1"/>
    <col min="14087" max="14317" width="8.88671875" style="4"/>
    <col min="14318" max="14318" width="4.21875" style="4" bestFit="1" customWidth="1"/>
    <col min="14319" max="14319" width="6.109375" style="4" bestFit="1" customWidth="1"/>
    <col min="14320" max="14320" width="5.5546875" style="4" bestFit="1" customWidth="1"/>
    <col min="14321" max="14321" width="24.109375" style="4" bestFit="1" customWidth="1"/>
    <col min="14322" max="14322" width="6.33203125" style="4" bestFit="1" customWidth="1"/>
    <col min="14323" max="14323" width="15.109375" style="4" bestFit="1" customWidth="1"/>
    <col min="14324" max="14324" width="14.109375" style="4" bestFit="1" customWidth="1"/>
    <col min="14325" max="14325" width="6.33203125" style="4" bestFit="1" customWidth="1"/>
    <col min="14326" max="14326" width="15.109375" style="4" bestFit="1" customWidth="1"/>
    <col min="14327" max="14327" width="7.33203125" style="4" bestFit="1" customWidth="1"/>
    <col min="14328" max="14328" width="5.6640625" style="4" bestFit="1" customWidth="1"/>
    <col min="14329" max="14329" width="14.88671875" style="4" bestFit="1" customWidth="1"/>
    <col min="14330" max="14330" width="7.33203125" style="4" bestFit="1" customWidth="1"/>
    <col min="14331" max="14331" width="5.6640625" style="4" bestFit="1" customWidth="1"/>
    <col min="14332" max="14332" width="10.77734375" style="4" bestFit="1" customWidth="1"/>
    <col min="14333" max="14333" width="7.33203125" style="4" bestFit="1" customWidth="1"/>
    <col min="14334" max="14334" width="5.33203125" style="4" customWidth="1"/>
    <col min="14335" max="14335" width="11" style="4" bestFit="1" customWidth="1"/>
    <col min="14336" max="14336" width="7.33203125" style="4" bestFit="1" customWidth="1"/>
    <col min="14337" max="14337" width="5.33203125" style="4" bestFit="1" customWidth="1"/>
    <col min="14338" max="14338" width="10.44140625" style="4" bestFit="1" customWidth="1"/>
    <col min="14339" max="14339" width="7.33203125" style="4" bestFit="1" customWidth="1"/>
    <col min="14340" max="14340" width="5.33203125" style="4" bestFit="1" customWidth="1"/>
    <col min="14341" max="14341" width="8" style="4" customWidth="1"/>
    <col min="14342" max="14342" width="7.33203125" style="4" bestFit="1" customWidth="1"/>
    <col min="14343" max="14573" width="8.88671875" style="4"/>
    <col min="14574" max="14574" width="4.21875" style="4" bestFit="1" customWidth="1"/>
    <col min="14575" max="14575" width="6.109375" style="4" bestFit="1" customWidth="1"/>
    <col min="14576" max="14576" width="5.5546875" style="4" bestFit="1" customWidth="1"/>
    <col min="14577" max="14577" width="24.109375" style="4" bestFit="1" customWidth="1"/>
    <col min="14578" max="14578" width="6.33203125" style="4" bestFit="1" customWidth="1"/>
    <col min="14579" max="14579" width="15.109375" style="4" bestFit="1" customWidth="1"/>
    <col min="14580" max="14580" width="14.109375" style="4" bestFit="1" customWidth="1"/>
    <col min="14581" max="14581" width="6.33203125" style="4" bestFit="1" customWidth="1"/>
    <col min="14582" max="14582" width="15.109375" style="4" bestFit="1" customWidth="1"/>
    <col min="14583" max="14583" width="7.33203125" style="4" bestFit="1" customWidth="1"/>
    <col min="14584" max="14584" width="5.6640625" style="4" bestFit="1" customWidth="1"/>
    <col min="14585" max="14585" width="14.88671875" style="4" bestFit="1" customWidth="1"/>
    <col min="14586" max="14586" width="7.33203125" style="4" bestFit="1" customWidth="1"/>
    <col min="14587" max="14587" width="5.6640625" style="4" bestFit="1" customWidth="1"/>
    <col min="14588" max="14588" width="10.77734375" style="4" bestFit="1" customWidth="1"/>
    <col min="14589" max="14589" width="7.33203125" style="4" bestFit="1" customWidth="1"/>
    <col min="14590" max="14590" width="5.33203125" style="4" customWidth="1"/>
    <col min="14591" max="14591" width="11" style="4" bestFit="1" customWidth="1"/>
    <col min="14592" max="14592" width="7.33203125" style="4" bestFit="1" customWidth="1"/>
    <col min="14593" max="14593" width="5.33203125" style="4" bestFit="1" customWidth="1"/>
    <col min="14594" max="14594" width="10.44140625" style="4" bestFit="1" customWidth="1"/>
    <col min="14595" max="14595" width="7.33203125" style="4" bestFit="1" customWidth="1"/>
    <col min="14596" max="14596" width="5.33203125" style="4" bestFit="1" customWidth="1"/>
    <col min="14597" max="14597" width="8" style="4" customWidth="1"/>
    <col min="14598" max="14598" width="7.33203125" style="4" bestFit="1" customWidth="1"/>
    <col min="14599" max="14829" width="8.88671875" style="4"/>
    <col min="14830" max="14830" width="4.21875" style="4" bestFit="1" customWidth="1"/>
    <col min="14831" max="14831" width="6.109375" style="4" bestFit="1" customWidth="1"/>
    <col min="14832" max="14832" width="5.5546875" style="4" bestFit="1" customWidth="1"/>
    <col min="14833" max="14833" width="24.109375" style="4" bestFit="1" customWidth="1"/>
    <col min="14834" max="14834" width="6.33203125" style="4" bestFit="1" customWidth="1"/>
    <col min="14835" max="14835" width="15.109375" style="4" bestFit="1" customWidth="1"/>
    <col min="14836" max="14836" width="14.109375" style="4" bestFit="1" customWidth="1"/>
    <col min="14837" max="14837" width="6.33203125" style="4" bestFit="1" customWidth="1"/>
    <col min="14838" max="14838" width="15.109375" style="4" bestFit="1" customWidth="1"/>
    <col min="14839" max="14839" width="7.33203125" style="4" bestFit="1" customWidth="1"/>
    <col min="14840" max="14840" width="5.6640625" style="4" bestFit="1" customWidth="1"/>
    <col min="14841" max="14841" width="14.88671875" style="4" bestFit="1" customWidth="1"/>
    <col min="14842" max="14842" width="7.33203125" style="4" bestFit="1" customWidth="1"/>
    <col min="14843" max="14843" width="5.6640625" style="4" bestFit="1" customWidth="1"/>
    <col min="14844" max="14844" width="10.77734375" style="4" bestFit="1" customWidth="1"/>
    <col min="14845" max="14845" width="7.33203125" style="4" bestFit="1" customWidth="1"/>
    <col min="14846" max="14846" width="5.33203125" style="4" customWidth="1"/>
    <col min="14847" max="14847" width="11" style="4" bestFit="1" customWidth="1"/>
    <col min="14848" max="14848" width="7.33203125" style="4" bestFit="1" customWidth="1"/>
    <col min="14849" max="14849" width="5.33203125" style="4" bestFit="1" customWidth="1"/>
    <col min="14850" max="14850" width="10.44140625" style="4" bestFit="1" customWidth="1"/>
    <col min="14851" max="14851" width="7.33203125" style="4" bestFit="1" customWidth="1"/>
    <col min="14852" max="14852" width="5.33203125" style="4" bestFit="1" customWidth="1"/>
    <col min="14853" max="14853" width="8" style="4" customWidth="1"/>
    <col min="14854" max="14854" width="7.33203125" style="4" bestFit="1" customWidth="1"/>
    <col min="14855" max="15085" width="8.88671875" style="4"/>
    <col min="15086" max="15086" width="4.21875" style="4" bestFit="1" customWidth="1"/>
    <col min="15087" max="15087" width="6.109375" style="4" bestFit="1" customWidth="1"/>
    <col min="15088" max="15088" width="5.5546875" style="4" bestFit="1" customWidth="1"/>
    <col min="15089" max="15089" width="24.109375" style="4" bestFit="1" customWidth="1"/>
    <col min="15090" max="15090" width="6.33203125" style="4" bestFit="1" customWidth="1"/>
    <col min="15091" max="15091" width="15.109375" style="4" bestFit="1" customWidth="1"/>
    <col min="15092" max="15092" width="14.109375" style="4" bestFit="1" customWidth="1"/>
    <col min="15093" max="15093" width="6.33203125" style="4" bestFit="1" customWidth="1"/>
    <col min="15094" max="15094" width="15.109375" style="4" bestFit="1" customWidth="1"/>
    <col min="15095" max="15095" width="7.33203125" style="4" bestFit="1" customWidth="1"/>
    <col min="15096" max="15096" width="5.6640625" style="4" bestFit="1" customWidth="1"/>
    <col min="15097" max="15097" width="14.88671875" style="4" bestFit="1" customWidth="1"/>
    <col min="15098" max="15098" width="7.33203125" style="4" bestFit="1" customWidth="1"/>
    <col min="15099" max="15099" width="5.6640625" style="4" bestFit="1" customWidth="1"/>
    <col min="15100" max="15100" width="10.77734375" style="4" bestFit="1" customWidth="1"/>
    <col min="15101" max="15101" width="7.33203125" style="4" bestFit="1" customWidth="1"/>
    <col min="15102" max="15102" width="5.33203125" style="4" customWidth="1"/>
    <col min="15103" max="15103" width="11" style="4" bestFit="1" customWidth="1"/>
    <col min="15104" max="15104" width="7.33203125" style="4" bestFit="1" customWidth="1"/>
    <col min="15105" max="15105" width="5.33203125" style="4" bestFit="1" customWidth="1"/>
    <col min="15106" max="15106" width="10.44140625" style="4" bestFit="1" customWidth="1"/>
    <col min="15107" max="15107" width="7.33203125" style="4" bestFit="1" customWidth="1"/>
    <col min="15108" max="15108" width="5.33203125" style="4" bestFit="1" customWidth="1"/>
    <col min="15109" max="15109" width="8" style="4" customWidth="1"/>
    <col min="15110" max="15110" width="7.33203125" style="4" bestFit="1" customWidth="1"/>
    <col min="15111" max="15341" width="8.88671875" style="4"/>
    <col min="15342" max="15342" width="4.21875" style="4" bestFit="1" customWidth="1"/>
    <col min="15343" max="15343" width="6.109375" style="4" bestFit="1" customWidth="1"/>
    <col min="15344" max="15344" width="5.5546875" style="4" bestFit="1" customWidth="1"/>
    <col min="15345" max="15345" width="24.109375" style="4" bestFit="1" customWidth="1"/>
    <col min="15346" max="15346" width="6.33203125" style="4" bestFit="1" customWidth="1"/>
    <col min="15347" max="15347" width="15.109375" style="4" bestFit="1" customWidth="1"/>
    <col min="15348" max="15348" width="14.109375" style="4" bestFit="1" customWidth="1"/>
    <col min="15349" max="15349" width="6.33203125" style="4" bestFit="1" customWidth="1"/>
    <col min="15350" max="15350" width="15.109375" style="4" bestFit="1" customWidth="1"/>
    <col min="15351" max="15351" width="7.33203125" style="4" bestFit="1" customWidth="1"/>
    <col min="15352" max="15352" width="5.6640625" style="4" bestFit="1" customWidth="1"/>
    <col min="15353" max="15353" width="14.88671875" style="4" bestFit="1" customWidth="1"/>
    <col min="15354" max="15354" width="7.33203125" style="4" bestFit="1" customWidth="1"/>
    <col min="15355" max="15355" width="5.6640625" style="4" bestFit="1" customWidth="1"/>
    <col min="15356" max="15356" width="10.77734375" style="4" bestFit="1" customWidth="1"/>
    <col min="15357" max="15357" width="7.33203125" style="4" bestFit="1" customWidth="1"/>
    <col min="15358" max="15358" width="5.33203125" style="4" customWidth="1"/>
    <col min="15359" max="15359" width="11" style="4" bestFit="1" customWidth="1"/>
    <col min="15360" max="15360" width="7.33203125" style="4" bestFit="1" customWidth="1"/>
    <col min="15361" max="15361" width="5.33203125" style="4" bestFit="1" customWidth="1"/>
    <col min="15362" max="15362" width="10.44140625" style="4" bestFit="1" customWidth="1"/>
    <col min="15363" max="15363" width="7.33203125" style="4" bestFit="1" customWidth="1"/>
    <col min="15364" max="15364" width="5.33203125" style="4" bestFit="1" customWidth="1"/>
    <col min="15365" max="15365" width="8" style="4" customWidth="1"/>
    <col min="15366" max="15366" width="7.33203125" style="4" bestFit="1" customWidth="1"/>
    <col min="15367" max="15597" width="8.88671875" style="4"/>
    <col min="15598" max="15598" width="4.21875" style="4" bestFit="1" customWidth="1"/>
    <col min="15599" max="15599" width="6.109375" style="4" bestFit="1" customWidth="1"/>
    <col min="15600" max="15600" width="5.5546875" style="4" bestFit="1" customWidth="1"/>
    <col min="15601" max="15601" width="24.109375" style="4" bestFit="1" customWidth="1"/>
    <col min="15602" max="15602" width="6.33203125" style="4" bestFit="1" customWidth="1"/>
    <col min="15603" max="15603" width="15.109375" style="4" bestFit="1" customWidth="1"/>
    <col min="15604" max="15604" width="14.109375" style="4" bestFit="1" customWidth="1"/>
    <col min="15605" max="15605" width="6.33203125" style="4" bestFit="1" customWidth="1"/>
    <col min="15606" max="15606" width="15.109375" style="4" bestFit="1" customWidth="1"/>
    <col min="15607" max="15607" width="7.33203125" style="4" bestFit="1" customWidth="1"/>
    <col min="15608" max="15608" width="5.6640625" style="4" bestFit="1" customWidth="1"/>
    <col min="15609" max="15609" width="14.88671875" style="4" bestFit="1" customWidth="1"/>
    <col min="15610" max="15610" width="7.33203125" style="4" bestFit="1" customWidth="1"/>
    <col min="15611" max="15611" width="5.6640625" style="4" bestFit="1" customWidth="1"/>
    <col min="15612" max="15612" width="10.77734375" style="4" bestFit="1" customWidth="1"/>
    <col min="15613" max="15613" width="7.33203125" style="4" bestFit="1" customWidth="1"/>
    <col min="15614" max="15614" width="5.33203125" style="4" customWidth="1"/>
    <col min="15615" max="15615" width="11" style="4" bestFit="1" customWidth="1"/>
    <col min="15616" max="15616" width="7.33203125" style="4" bestFit="1" customWidth="1"/>
    <col min="15617" max="15617" width="5.33203125" style="4" bestFit="1" customWidth="1"/>
    <col min="15618" max="15618" width="10.44140625" style="4" bestFit="1" customWidth="1"/>
    <col min="15619" max="15619" width="7.33203125" style="4" bestFit="1" customWidth="1"/>
    <col min="15620" max="15620" width="5.33203125" style="4" bestFit="1" customWidth="1"/>
    <col min="15621" max="15621" width="8" style="4" customWidth="1"/>
    <col min="15622" max="15622" width="7.33203125" style="4" bestFit="1" customWidth="1"/>
    <col min="15623" max="15853" width="8.88671875" style="4"/>
    <col min="15854" max="15854" width="4.21875" style="4" bestFit="1" customWidth="1"/>
    <col min="15855" max="15855" width="6.109375" style="4" bestFit="1" customWidth="1"/>
    <col min="15856" max="15856" width="5.5546875" style="4" bestFit="1" customWidth="1"/>
    <col min="15857" max="15857" width="24.109375" style="4" bestFit="1" customWidth="1"/>
    <col min="15858" max="15858" width="6.33203125" style="4" bestFit="1" customWidth="1"/>
    <col min="15859" max="15859" width="15.109375" style="4" bestFit="1" customWidth="1"/>
    <col min="15860" max="15860" width="14.109375" style="4" bestFit="1" customWidth="1"/>
    <col min="15861" max="15861" width="6.33203125" style="4" bestFit="1" customWidth="1"/>
    <col min="15862" max="15862" width="15.109375" style="4" bestFit="1" customWidth="1"/>
    <col min="15863" max="15863" width="7.33203125" style="4" bestFit="1" customWidth="1"/>
    <col min="15864" max="15864" width="5.6640625" style="4" bestFit="1" customWidth="1"/>
    <col min="15865" max="15865" width="14.88671875" style="4" bestFit="1" customWidth="1"/>
    <col min="15866" max="15866" width="7.33203125" style="4" bestFit="1" customWidth="1"/>
    <col min="15867" max="15867" width="5.6640625" style="4" bestFit="1" customWidth="1"/>
    <col min="15868" max="15868" width="10.77734375" style="4" bestFit="1" customWidth="1"/>
    <col min="15869" max="15869" width="7.33203125" style="4" bestFit="1" customWidth="1"/>
    <col min="15870" max="15870" width="5.33203125" style="4" customWidth="1"/>
    <col min="15871" max="15871" width="11" style="4" bestFit="1" customWidth="1"/>
    <col min="15872" max="15872" width="7.33203125" style="4" bestFit="1" customWidth="1"/>
    <col min="15873" max="15873" width="5.33203125" style="4" bestFit="1" customWidth="1"/>
    <col min="15874" max="15874" width="10.44140625" style="4" bestFit="1" customWidth="1"/>
    <col min="15875" max="15875" width="7.33203125" style="4" bestFit="1" customWidth="1"/>
    <col min="15876" max="15876" width="5.33203125" style="4" bestFit="1" customWidth="1"/>
    <col min="15877" max="15877" width="8" style="4" customWidth="1"/>
    <col min="15878" max="15878" width="7.33203125" style="4" bestFit="1" customWidth="1"/>
    <col min="15879" max="16109" width="8.88671875" style="4"/>
    <col min="16110" max="16110" width="4.21875" style="4" bestFit="1" customWidth="1"/>
    <col min="16111" max="16111" width="6.109375" style="4" bestFit="1" customWidth="1"/>
    <col min="16112" max="16112" width="5.5546875" style="4" bestFit="1" customWidth="1"/>
    <col min="16113" max="16113" width="24.109375" style="4" bestFit="1" customWidth="1"/>
    <col min="16114" max="16114" width="6.33203125" style="4" bestFit="1" customWidth="1"/>
    <col min="16115" max="16115" width="15.109375" style="4" bestFit="1" customWidth="1"/>
    <col min="16116" max="16116" width="14.109375" style="4" bestFit="1" customWidth="1"/>
    <col min="16117" max="16117" width="6.33203125" style="4" bestFit="1" customWidth="1"/>
    <col min="16118" max="16118" width="15.109375" style="4" bestFit="1" customWidth="1"/>
    <col min="16119" max="16119" width="7.33203125" style="4" bestFit="1" customWidth="1"/>
    <col min="16120" max="16120" width="5.6640625" style="4" bestFit="1" customWidth="1"/>
    <col min="16121" max="16121" width="14.88671875" style="4" bestFit="1" customWidth="1"/>
    <col min="16122" max="16122" width="7.33203125" style="4" bestFit="1" customWidth="1"/>
    <col min="16123" max="16123" width="5.6640625" style="4" bestFit="1" customWidth="1"/>
    <col min="16124" max="16124" width="10.77734375" style="4" bestFit="1" customWidth="1"/>
    <col min="16125" max="16125" width="7.33203125" style="4" bestFit="1" customWidth="1"/>
    <col min="16126" max="16126" width="5.33203125" style="4" customWidth="1"/>
    <col min="16127" max="16127" width="11" style="4" bestFit="1" customWidth="1"/>
    <col min="16128" max="16128" width="7.33203125" style="4" bestFit="1" customWidth="1"/>
    <col min="16129" max="16129" width="5.33203125" style="4" bestFit="1" customWidth="1"/>
    <col min="16130" max="16130" width="10.44140625" style="4" bestFit="1" customWidth="1"/>
    <col min="16131" max="16131" width="7.33203125" style="4" bestFit="1" customWidth="1"/>
    <col min="16132" max="16132" width="5.33203125" style="4" bestFit="1" customWidth="1"/>
    <col min="16133" max="16133" width="8" style="4" customWidth="1"/>
    <col min="16134" max="16134" width="7.33203125" style="4" bestFit="1" customWidth="1"/>
    <col min="16135" max="16384" width="8.88671875" style="4"/>
  </cols>
  <sheetData>
    <row r="1" spans="1:28" ht="36" customHeight="1">
      <c r="E1" s="238" t="s">
        <v>3052</v>
      </c>
      <c r="H1" s="238"/>
      <c r="K1" s="238"/>
      <c r="N1" s="238"/>
    </row>
    <row r="2" spans="1:28" ht="25.5">
      <c r="A2" s="1"/>
      <c r="B2" s="2"/>
      <c r="C2" s="2"/>
      <c r="D2" s="2"/>
      <c r="E2" s="2"/>
      <c r="F2" s="2"/>
      <c r="G2" s="3">
        <f>SUM(G6:G905)</f>
        <v>4999.9999999999982</v>
      </c>
      <c r="H2" s="2"/>
      <c r="I2" s="2"/>
      <c r="J2" s="3">
        <f>SUM(J6:J905)</f>
        <v>5000.0000000000036</v>
      </c>
      <c r="K2" s="2"/>
      <c r="L2" s="2"/>
      <c r="M2" s="3">
        <f>SUM(M6:M905)</f>
        <v>4999.9999999999955</v>
      </c>
      <c r="N2" s="2"/>
      <c r="O2" s="2"/>
      <c r="P2" s="3">
        <f>SUM(P6:P905)</f>
        <v>4999.9999999999918</v>
      </c>
      <c r="Q2" s="2"/>
      <c r="R2" s="2"/>
      <c r="S2" s="3">
        <f>SUM(S6:S905)</f>
        <v>4999.9999999999964</v>
      </c>
      <c r="T2" s="2"/>
      <c r="U2" s="2"/>
      <c r="V2" s="3">
        <f>SUM(V6:V905)</f>
        <v>4999.9999999999955</v>
      </c>
      <c r="W2" s="2"/>
      <c r="X2" s="2"/>
      <c r="Y2" s="3">
        <f>SUM(Y6:Y905)</f>
        <v>5000</v>
      </c>
      <c r="Z2" s="2"/>
      <c r="AA2" s="2"/>
      <c r="AB2" s="3">
        <f>SUM(AB6:AB905)</f>
        <v>4999.9999999999927</v>
      </c>
    </row>
    <row r="3" spans="1:28" ht="14.25" thickBot="1">
      <c r="A3" s="5"/>
      <c r="B3" s="5"/>
      <c r="C3" s="5"/>
      <c r="D3" s="6"/>
      <c r="E3" s="6"/>
      <c r="F3" s="6"/>
      <c r="G3" s="6"/>
      <c r="H3" s="6"/>
      <c r="I3" s="6"/>
      <c r="J3" s="7"/>
      <c r="K3" s="6"/>
      <c r="L3" s="6"/>
      <c r="M3" s="7"/>
      <c r="N3" s="6"/>
      <c r="O3" s="6"/>
      <c r="P3" s="7"/>
      <c r="Q3" s="6"/>
      <c r="R3" s="6"/>
      <c r="S3" s="7"/>
      <c r="T3" s="6"/>
      <c r="U3" s="6"/>
      <c r="V3" s="7"/>
      <c r="W3" s="8"/>
      <c r="X3" s="8"/>
      <c r="Y3" s="7"/>
      <c r="AA3" s="9"/>
      <c r="AB3" s="7"/>
    </row>
    <row r="4" spans="1:28" ht="13.5" customHeight="1">
      <c r="A4" s="254" t="s">
        <v>0</v>
      </c>
      <c r="B4" s="255"/>
      <c r="C4" s="255"/>
      <c r="D4" s="256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7" t="s">
        <v>1</v>
      </c>
      <c r="U4" s="258"/>
      <c r="V4" s="258"/>
      <c r="W4" s="258"/>
      <c r="X4" s="258"/>
      <c r="Y4" s="258"/>
      <c r="Z4" s="258"/>
      <c r="AA4" s="258"/>
      <c r="AB4" s="259"/>
    </row>
    <row r="5" spans="1:28" ht="22.5">
      <c r="A5" s="236" t="s">
        <v>2379</v>
      </c>
      <c r="B5" s="237" t="s">
        <v>2380</v>
      </c>
      <c r="C5" s="237" t="s">
        <v>2381</v>
      </c>
      <c r="D5" s="10" t="s">
        <v>2382</v>
      </c>
      <c r="E5" s="260" t="s">
        <v>3051</v>
      </c>
      <c r="F5" s="261"/>
      <c r="G5" s="262"/>
      <c r="H5" s="260" t="s">
        <v>3050</v>
      </c>
      <c r="I5" s="261"/>
      <c r="J5" s="262"/>
      <c r="K5" s="260" t="s">
        <v>2978</v>
      </c>
      <c r="L5" s="261"/>
      <c r="M5" s="262"/>
      <c r="N5" s="260" t="s">
        <v>2383</v>
      </c>
      <c r="O5" s="261"/>
      <c r="P5" s="262"/>
      <c r="Q5" s="260" t="s">
        <v>2384</v>
      </c>
      <c r="R5" s="261"/>
      <c r="S5" s="262"/>
      <c r="T5" s="260" t="s">
        <v>2385</v>
      </c>
      <c r="U5" s="261"/>
      <c r="V5" s="262"/>
      <c r="W5" s="260" t="s">
        <v>2386</v>
      </c>
      <c r="X5" s="261"/>
      <c r="Y5" s="262"/>
      <c r="Z5" s="260" t="s">
        <v>2387</v>
      </c>
      <c r="AA5" s="261"/>
      <c r="AB5" s="262"/>
    </row>
    <row r="6" spans="1:28" ht="13.5" customHeight="1">
      <c r="A6" s="12"/>
      <c r="B6" s="13"/>
      <c r="C6" s="13"/>
      <c r="D6" s="11"/>
      <c r="E6" s="14"/>
      <c r="F6" s="15"/>
      <c r="G6" s="16">
        <f>SUM(G7,G209,G226,G309,G361,G455,G531,G584,G612,G729,G767,G831)</f>
        <v>1000</v>
      </c>
      <c r="H6" s="14"/>
      <c r="I6" s="15"/>
      <c r="J6" s="16">
        <f>SUM(J7,J209,J226,J309,J361,J455,J531,J584,J612,J729,J767,J831)</f>
        <v>999.99999999999989</v>
      </c>
      <c r="K6" s="14"/>
      <c r="L6" s="15"/>
      <c r="M6" s="16">
        <f>SUM(M7,M209,M226,M309,M361,M455,M531,M584,M612,M729,M767,M831)</f>
        <v>1000</v>
      </c>
      <c r="N6" s="14"/>
      <c r="O6" s="15"/>
      <c r="P6" s="16">
        <f>SUM(P7,P209,P226,P309,P361,P455,P531,P584,P612,P729,P767,P831)</f>
        <v>999.99999999999989</v>
      </c>
      <c r="Q6" s="14"/>
      <c r="R6" s="15"/>
      <c r="S6" s="16">
        <f>SUM(S7,S209,S226,S309,S361,S455,S531,S584,S612,S729,S767,S831)</f>
        <v>1000.0000000000001</v>
      </c>
      <c r="T6" s="14"/>
      <c r="U6" s="15"/>
      <c r="V6" s="16">
        <f>SUM(V7,V209,V226,V309,V361,V455,V531,V584,V612,V729,V767,V831)</f>
        <v>1000.0000000000001</v>
      </c>
      <c r="W6" s="17"/>
      <c r="X6" s="18"/>
      <c r="Y6" s="16">
        <f>SUM(Y7,Y209,Y226,Y309,Y361,Y455,Y531,Y584,Y612,Y729,Y767,Y831)</f>
        <v>1000.0000000000001</v>
      </c>
      <c r="Z6" s="14"/>
      <c r="AA6" s="15"/>
      <c r="AB6" s="16">
        <f>SUM(AB7,AB209,AB226,AB309,AB361,AB455,AB531,AB584,AB612,AB729,AB767,AB831)</f>
        <v>1000</v>
      </c>
    </row>
    <row r="7" spans="1:28" ht="13.5" customHeight="1">
      <c r="A7" s="19" t="s">
        <v>2</v>
      </c>
      <c r="B7" s="20"/>
      <c r="C7" s="21"/>
      <c r="D7" s="6" t="s">
        <v>3</v>
      </c>
      <c r="E7" s="22"/>
      <c r="F7" s="23"/>
      <c r="G7" s="24">
        <f>SUM(G8,G190)</f>
        <v>142</v>
      </c>
      <c r="H7" s="22"/>
      <c r="I7" s="23"/>
      <c r="J7" s="24">
        <f>SUM(J8,J190)</f>
        <v>154.50000000000003</v>
      </c>
      <c r="K7" s="22"/>
      <c r="L7" s="23"/>
      <c r="M7" s="24">
        <f>SUM(M8,M190)</f>
        <v>137.6</v>
      </c>
      <c r="N7" s="22"/>
      <c r="O7" s="23"/>
      <c r="P7" s="24">
        <f>SUM(P8,P190)</f>
        <v>137.69999999999999</v>
      </c>
      <c r="Q7" s="22"/>
      <c r="R7" s="23"/>
      <c r="S7" s="24">
        <f>SUM(S8,S190)</f>
        <v>139</v>
      </c>
      <c r="T7" s="22"/>
      <c r="U7" s="23"/>
      <c r="V7" s="24">
        <f>SUM(V8,V190)</f>
        <v>135.9</v>
      </c>
      <c r="W7" s="25"/>
      <c r="X7" s="26"/>
      <c r="Y7" s="24">
        <f>SUM(Y8,Y190)</f>
        <v>141</v>
      </c>
      <c r="Z7" s="25"/>
      <c r="AA7" s="26"/>
      <c r="AB7" s="24">
        <f>SUM(AB8,AB190)</f>
        <v>158.40000000000003</v>
      </c>
    </row>
    <row r="8" spans="1:28" ht="13.5" customHeight="1">
      <c r="A8" s="27"/>
      <c r="B8" s="28" t="s">
        <v>4</v>
      </c>
      <c r="C8" s="29"/>
      <c r="D8" s="30" t="s">
        <v>5</v>
      </c>
      <c r="E8" s="31" t="s">
        <v>6</v>
      </c>
      <c r="F8" s="32"/>
      <c r="G8" s="33">
        <f>SUM(G9,G34,G46,G75,G84,G90,G116,G150,G164)</f>
        <v>132.30000000000001</v>
      </c>
      <c r="H8" s="31" t="s">
        <v>6</v>
      </c>
      <c r="I8" s="32"/>
      <c r="J8" s="33">
        <f>SUM(J9,J34,J46,J75,J84,J90,J116,J150,J164)</f>
        <v>144.20000000000002</v>
      </c>
      <c r="K8" s="31" t="s">
        <v>6</v>
      </c>
      <c r="L8" s="32"/>
      <c r="M8" s="33">
        <f>SUM(M9,M34,M46,M75,M84,M90,M116,M150,M164)</f>
        <v>128.69999999999999</v>
      </c>
      <c r="N8" s="31" t="s">
        <v>6</v>
      </c>
      <c r="O8" s="32"/>
      <c r="P8" s="33">
        <f>SUM(P9,P34,P46,P75,P84,P90,P116,P150,P164)</f>
        <v>129.19999999999999</v>
      </c>
      <c r="Q8" s="31" t="s">
        <v>6</v>
      </c>
      <c r="R8" s="32"/>
      <c r="S8" s="33">
        <f>SUM(S9,S34,S46,S75,S84,S90,S116,S150,S164)</f>
        <v>130</v>
      </c>
      <c r="T8" s="31" t="s">
        <v>6</v>
      </c>
      <c r="U8" s="32"/>
      <c r="V8" s="33">
        <f>SUM(V9,V34,V46,V75,V84,V90,V116,V150,V164)</f>
        <v>127.40000000000002</v>
      </c>
      <c r="W8" s="34"/>
      <c r="X8" s="35"/>
      <c r="Y8" s="33">
        <f>SUM(Y9,Y34,Y46,Y75,Y84,Y90,Y116,Y150,Y164)</f>
        <v>133.4</v>
      </c>
      <c r="Z8" s="34"/>
      <c r="AA8" s="35"/>
      <c r="AB8" s="33">
        <f>SUM(AB9,AB34,AB46,AB75,AB84,AB90,AB116,AB150,AB164)</f>
        <v>150.80000000000004</v>
      </c>
    </row>
    <row r="9" spans="1:28" ht="13.5" customHeight="1">
      <c r="A9" s="27"/>
      <c r="B9" s="36"/>
      <c r="C9" s="28" t="s">
        <v>7</v>
      </c>
      <c r="D9" s="30" t="s">
        <v>8</v>
      </c>
      <c r="E9" s="37" t="s">
        <v>9</v>
      </c>
      <c r="F9" s="38"/>
      <c r="G9" s="39">
        <f>SUM(G10:G33)</f>
        <v>22.299999999999997</v>
      </c>
      <c r="H9" s="37" t="s">
        <v>9</v>
      </c>
      <c r="I9" s="38"/>
      <c r="J9" s="39">
        <f>SUM(J10:J33)</f>
        <v>24</v>
      </c>
      <c r="K9" s="37" t="s">
        <v>9</v>
      </c>
      <c r="L9" s="38"/>
      <c r="M9" s="39">
        <f>SUM(M10:M33)</f>
        <v>20.899999999999995</v>
      </c>
      <c r="N9" s="37" t="s">
        <v>9</v>
      </c>
      <c r="O9" s="38"/>
      <c r="P9" s="39">
        <f>SUM(P10:P33)</f>
        <v>22.299999999999997</v>
      </c>
      <c r="Q9" s="37" t="s">
        <v>9</v>
      </c>
      <c r="R9" s="38"/>
      <c r="S9" s="39">
        <f>SUM(S10:S32)</f>
        <v>23.299999999999997</v>
      </c>
      <c r="T9" s="37" t="s">
        <v>9</v>
      </c>
      <c r="U9" s="38"/>
      <c r="V9" s="39">
        <f>SUM(V10:V33)</f>
        <v>22.799999999999997</v>
      </c>
      <c r="W9" s="40"/>
      <c r="X9" s="41"/>
      <c r="Y9" s="39">
        <f>SUM(Y10:Y32)</f>
        <v>28.500000000000004</v>
      </c>
      <c r="Z9" s="42"/>
      <c r="AA9" s="43"/>
      <c r="AB9" s="39">
        <f>SUM(AB10:AB32)</f>
        <v>38.400000000000006</v>
      </c>
    </row>
    <row r="10" spans="1:28" ht="13.5" customHeight="1">
      <c r="A10" s="27"/>
      <c r="B10" s="44"/>
      <c r="C10" s="44"/>
      <c r="D10" s="45"/>
      <c r="E10" s="46" t="s">
        <v>11</v>
      </c>
      <c r="F10" s="47" t="s">
        <v>10</v>
      </c>
      <c r="G10" s="48">
        <v>4.2</v>
      </c>
      <c r="H10" s="46" t="s">
        <v>11</v>
      </c>
      <c r="I10" s="47" t="s">
        <v>10</v>
      </c>
      <c r="J10" s="48">
        <v>5.5</v>
      </c>
      <c r="K10" s="46" t="s">
        <v>11</v>
      </c>
      <c r="L10" s="47" t="s">
        <v>10</v>
      </c>
      <c r="M10" s="48">
        <v>4.3</v>
      </c>
      <c r="N10" s="46" t="s">
        <v>11</v>
      </c>
      <c r="O10" s="47" t="s">
        <v>10</v>
      </c>
      <c r="P10" s="48">
        <v>5.2</v>
      </c>
      <c r="Q10" s="46" t="s">
        <v>11</v>
      </c>
      <c r="R10" s="47" t="s">
        <v>10</v>
      </c>
      <c r="S10" s="48">
        <v>6.4</v>
      </c>
      <c r="T10" s="46" t="s">
        <v>11</v>
      </c>
      <c r="U10" s="47" t="s">
        <v>10</v>
      </c>
      <c r="V10" s="48">
        <v>6.2</v>
      </c>
      <c r="W10" s="46" t="s">
        <v>12</v>
      </c>
      <c r="X10" s="47" t="s">
        <v>13</v>
      </c>
      <c r="Y10" s="48">
        <v>14</v>
      </c>
      <c r="Z10" s="49" t="s">
        <v>12</v>
      </c>
      <c r="AA10" s="50" t="s">
        <v>10</v>
      </c>
      <c r="AB10" s="51">
        <v>24.3</v>
      </c>
    </row>
    <row r="11" spans="1:28" ht="13.5" customHeight="1">
      <c r="A11" s="27"/>
      <c r="B11" s="44"/>
      <c r="C11" s="36"/>
      <c r="D11" s="6"/>
      <c r="E11" s="46" t="s">
        <v>15</v>
      </c>
      <c r="F11" s="47" t="s">
        <v>2388</v>
      </c>
      <c r="G11" s="48">
        <v>0.4</v>
      </c>
      <c r="H11" s="46" t="s">
        <v>15</v>
      </c>
      <c r="I11" s="47" t="s">
        <v>2388</v>
      </c>
      <c r="J11" s="48">
        <v>0.5</v>
      </c>
      <c r="K11" s="46" t="s">
        <v>15</v>
      </c>
      <c r="L11" s="47" t="s">
        <v>2388</v>
      </c>
      <c r="M11" s="48">
        <v>0.7</v>
      </c>
      <c r="N11" s="46" t="s">
        <v>15</v>
      </c>
      <c r="O11" s="47" t="s">
        <v>2388</v>
      </c>
      <c r="P11" s="48">
        <v>1.1000000000000001</v>
      </c>
      <c r="Q11" s="46"/>
      <c r="R11" s="47"/>
      <c r="S11" s="48"/>
      <c r="T11" s="46"/>
      <c r="U11" s="47"/>
      <c r="V11" s="48"/>
      <c r="W11" s="46"/>
      <c r="X11" s="47"/>
      <c r="Y11" s="48"/>
      <c r="Z11" s="49"/>
      <c r="AA11" s="50"/>
      <c r="AB11" s="51"/>
    </row>
    <row r="12" spans="1:28" ht="13.5" customHeight="1">
      <c r="A12" s="27"/>
      <c r="B12" s="44"/>
      <c r="C12" s="36"/>
      <c r="D12" s="6"/>
      <c r="E12" s="46" t="s">
        <v>18</v>
      </c>
      <c r="F12" s="47" t="s">
        <v>14</v>
      </c>
      <c r="G12" s="48">
        <v>0.5</v>
      </c>
      <c r="H12" s="46" t="s">
        <v>18</v>
      </c>
      <c r="I12" s="47" t="s">
        <v>14</v>
      </c>
      <c r="J12" s="48">
        <v>0.7</v>
      </c>
      <c r="K12" s="46" t="s">
        <v>18</v>
      </c>
      <c r="L12" s="47" t="s">
        <v>14</v>
      </c>
      <c r="M12" s="48">
        <v>0.6</v>
      </c>
      <c r="N12" s="46" t="s">
        <v>18</v>
      </c>
      <c r="O12" s="47" t="s">
        <v>14</v>
      </c>
      <c r="P12" s="48">
        <v>0.7</v>
      </c>
      <c r="Q12" s="46" t="s">
        <v>15</v>
      </c>
      <c r="R12" s="47" t="s">
        <v>14</v>
      </c>
      <c r="S12" s="48">
        <v>0.7</v>
      </c>
      <c r="T12" s="46" t="s">
        <v>15</v>
      </c>
      <c r="U12" s="47" t="s">
        <v>14</v>
      </c>
      <c r="V12" s="48">
        <v>0.8</v>
      </c>
      <c r="W12" s="46" t="s">
        <v>16</v>
      </c>
      <c r="X12" s="47" t="s">
        <v>2389</v>
      </c>
      <c r="Y12" s="48">
        <v>1</v>
      </c>
      <c r="Z12" s="49" t="s">
        <v>16</v>
      </c>
      <c r="AA12" s="50" t="s">
        <v>14</v>
      </c>
      <c r="AB12" s="51">
        <v>0.8</v>
      </c>
    </row>
    <row r="13" spans="1:28" ht="13.5" customHeight="1">
      <c r="A13" s="27"/>
      <c r="B13" s="44"/>
      <c r="C13" s="36"/>
      <c r="D13" s="6"/>
      <c r="E13" s="46" t="s">
        <v>21</v>
      </c>
      <c r="F13" s="47" t="s">
        <v>17</v>
      </c>
      <c r="G13" s="48">
        <v>0.2</v>
      </c>
      <c r="H13" s="46" t="s">
        <v>21</v>
      </c>
      <c r="I13" s="47" t="s">
        <v>17</v>
      </c>
      <c r="J13" s="48">
        <v>0.2</v>
      </c>
      <c r="K13" s="46" t="s">
        <v>21</v>
      </c>
      <c r="L13" s="47" t="s">
        <v>17</v>
      </c>
      <c r="M13" s="48">
        <v>0.2</v>
      </c>
      <c r="N13" s="46" t="s">
        <v>21</v>
      </c>
      <c r="O13" s="47" t="s">
        <v>17</v>
      </c>
      <c r="P13" s="48">
        <v>0.2</v>
      </c>
      <c r="Q13" s="46" t="s">
        <v>18</v>
      </c>
      <c r="R13" s="47" t="s">
        <v>17</v>
      </c>
      <c r="S13" s="48">
        <v>0.2</v>
      </c>
      <c r="T13" s="46" t="s">
        <v>18</v>
      </c>
      <c r="U13" s="47" t="s">
        <v>17</v>
      </c>
      <c r="V13" s="48">
        <v>0.2</v>
      </c>
      <c r="W13" s="46" t="s">
        <v>19</v>
      </c>
      <c r="X13" s="47" t="s">
        <v>2390</v>
      </c>
      <c r="Y13" s="48">
        <v>0.3</v>
      </c>
      <c r="Z13" s="49" t="s">
        <v>19</v>
      </c>
      <c r="AA13" s="50" t="s">
        <v>17</v>
      </c>
      <c r="AB13" s="51">
        <v>0.2</v>
      </c>
    </row>
    <row r="14" spans="1:28" ht="13.5" customHeight="1">
      <c r="A14" s="27"/>
      <c r="B14" s="44"/>
      <c r="C14" s="36"/>
      <c r="D14" s="6"/>
      <c r="E14" s="46" t="s">
        <v>24</v>
      </c>
      <c r="F14" s="47" t="s">
        <v>20</v>
      </c>
      <c r="G14" s="48">
        <v>0.5</v>
      </c>
      <c r="H14" s="46" t="s">
        <v>24</v>
      </c>
      <c r="I14" s="47" t="s">
        <v>20</v>
      </c>
      <c r="J14" s="48">
        <v>0.6</v>
      </c>
      <c r="K14" s="46" t="s">
        <v>24</v>
      </c>
      <c r="L14" s="47" t="s">
        <v>20</v>
      </c>
      <c r="M14" s="48">
        <v>0.4</v>
      </c>
      <c r="N14" s="46" t="s">
        <v>24</v>
      </c>
      <c r="O14" s="47" t="s">
        <v>20</v>
      </c>
      <c r="P14" s="48">
        <v>0.5</v>
      </c>
      <c r="Q14" s="46" t="s">
        <v>21</v>
      </c>
      <c r="R14" s="47" t="s">
        <v>20</v>
      </c>
      <c r="S14" s="48">
        <v>0.7</v>
      </c>
      <c r="T14" s="46" t="s">
        <v>21</v>
      </c>
      <c r="U14" s="47" t="s">
        <v>20</v>
      </c>
      <c r="V14" s="48">
        <v>0.5</v>
      </c>
      <c r="W14" s="46" t="s">
        <v>22</v>
      </c>
      <c r="X14" s="47" t="s">
        <v>2391</v>
      </c>
      <c r="Y14" s="48">
        <v>0.9</v>
      </c>
      <c r="Z14" s="49" t="s">
        <v>22</v>
      </c>
      <c r="AA14" s="50" t="s">
        <v>20</v>
      </c>
      <c r="AB14" s="51">
        <v>0.6</v>
      </c>
    </row>
    <row r="15" spans="1:28" ht="13.5" customHeight="1">
      <c r="A15" s="27"/>
      <c r="B15" s="44"/>
      <c r="C15" s="36"/>
      <c r="D15" s="6"/>
      <c r="E15" s="46" t="s">
        <v>74</v>
      </c>
      <c r="F15" s="47" t="s">
        <v>23</v>
      </c>
      <c r="G15" s="48">
        <v>0.1</v>
      </c>
      <c r="H15" s="46" t="s">
        <v>74</v>
      </c>
      <c r="I15" s="47" t="s">
        <v>23</v>
      </c>
      <c r="J15" s="48">
        <v>0.1</v>
      </c>
      <c r="K15" s="46" t="s">
        <v>74</v>
      </c>
      <c r="L15" s="47" t="s">
        <v>23</v>
      </c>
      <c r="M15" s="48">
        <v>0.1</v>
      </c>
      <c r="N15" s="46" t="s">
        <v>74</v>
      </c>
      <c r="O15" s="47" t="s">
        <v>23</v>
      </c>
      <c r="P15" s="48">
        <v>0.1</v>
      </c>
      <c r="Q15" s="46" t="s">
        <v>24</v>
      </c>
      <c r="R15" s="47" t="s">
        <v>23</v>
      </c>
      <c r="S15" s="48">
        <v>0.1</v>
      </c>
      <c r="T15" s="46" t="s">
        <v>24</v>
      </c>
      <c r="U15" s="47" t="s">
        <v>23</v>
      </c>
      <c r="V15" s="48">
        <v>0.1</v>
      </c>
      <c r="W15" s="46" t="s">
        <v>25</v>
      </c>
      <c r="X15" s="47" t="s">
        <v>2392</v>
      </c>
      <c r="Y15" s="48">
        <v>0.3</v>
      </c>
      <c r="Z15" s="49" t="s">
        <v>26</v>
      </c>
      <c r="AA15" s="50" t="s">
        <v>23</v>
      </c>
      <c r="AB15" s="51">
        <v>0.2</v>
      </c>
    </row>
    <row r="16" spans="1:28" ht="13.5" customHeight="1">
      <c r="A16" s="27"/>
      <c r="B16" s="44"/>
      <c r="C16" s="36"/>
      <c r="D16" s="6"/>
      <c r="E16" s="46"/>
      <c r="F16" s="47"/>
      <c r="G16" s="48"/>
      <c r="H16" s="46"/>
      <c r="I16" s="47"/>
      <c r="J16" s="48"/>
      <c r="K16" s="46"/>
      <c r="L16" s="47"/>
      <c r="M16" s="48"/>
      <c r="N16" s="46"/>
      <c r="O16" s="47"/>
      <c r="P16" s="48"/>
      <c r="Q16" s="46"/>
      <c r="R16" s="47"/>
      <c r="S16" s="252"/>
      <c r="T16" s="46"/>
      <c r="U16" s="47"/>
      <c r="V16" s="252"/>
      <c r="W16" s="46"/>
      <c r="X16" s="47"/>
      <c r="Y16" s="48"/>
      <c r="Z16" s="49" t="s">
        <v>27</v>
      </c>
      <c r="AA16" s="50" t="s">
        <v>28</v>
      </c>
      <c r="AB16" s="51">
        <v>0.1</v>
      </c>
    </row>
    <row r="17" spans="1:28" ht="13.5" customHeight="1">
      <c r="A17" s="27"/>
      <c r="B17" s="44"/>
      <c r="C17" s="36"/>
      <c r="D17" s="6"/>
      <c r="E17" s="46"/>
      <c r="F17" s="47"/>
      <c r="G17" s="48"/>
      <c r="H17" s="46"/>
      <c r="I17" s="47"/>
      <c r="J17" s="48"/>
      <c r="K17" s="46"/>
      <c r="L17" s="47"/>
      <c r="M17" s="48"/>
      <c r="N17" s="46"/>
      <c r="O17" s="47"/>
      <c r="P17" s="48"/>
      <c r="Q17" s="46"/>
      <c r="R17" s="47"/>
      <c r="S17" s="48"/>
      <c r="T17" s="46"/>
      <c r="U17" s="47"/>
      <c r="V17" s="48"/>
      <c r="W17" s="46"/>
      <c r="X17" s="47"/>
      <c r="Y17" s="48"/>
      <c r="Z17" s="49"/>
      <c r="AA17" s="50"/>
      <c r="AB17" s="51"/>
    </row>
    <row r="18" spans="1:28" ht="13.5" customHeight="1">
      <c r="A18" s="27"/>
      <c r="B18" s="44"/>
      <c r="C18" s="36"/>
      <c r="D18" s="6"/>
      <c r="E18" s="46"/>
      <c r="F18" s="47"/>
      <c r="G18" s="48"/>
      <c r="H18" s="46"/>
      <c r="I18" s="47"/>
      <c r="J18" s="48"/>
      <c r="K18" s="46"/>
      <c r="L18" s="47"/>
      <c r="M18" s="48"/>
      <c r="N18" s="46"/>
      <c r="O18" s="47"/>
      <c r="P18" s="48"/>
      <c r="Q18" s="46"/>
      <c r="R18" s="47"/>
      <c r="S18" s="48"/>
      <c r="T18" s="46"/>
      <c r="U18" s="47"/>
      <c r="V18" s="48"/>
      <c r="W18" s="46"/>
      <c r="X18" s="47"/>
      <c r="Y18" s="48"/>
      <c r="Z18" s="49"/>
      <c r="AA18" s="50"/>
      <c r="AB18" s="51"/>
    </row>
    <row r="19" spans="1:28" ht="13.5" customHeight="1">
      <c r="A19" s="27"/>
      <c r="B19" s="44"/>
      <c r="C19" s="36"/>
      <c r="D19" s="6"/>
      <c r="E19" s="46"/>
      <c r="F19" s="47"/>
      <c r="G19" s="48"/>
      <c r="H19" s="46"/>
      <c r="I19" s="47"/>
      <c r="J19" s="48"/>
      <c r="K19" s="46"/>
      <c r="L19" s="47"/>
      <c r="M19" s="48"/>
      <c r="N19" s="46"/>
      <c r="O19" s="47"/>
      <c r="P19" s="48"/>
      <c r="Q19" s="46"/>
      <c r="R19" s="47"/>
      <c r="S19" s="48"/>
      <c r="T19" s="46"/>
      <c r="U19" s="47"/>
      <c r="V19" s="48"/>
      <c r="W19" s="46"/>
      <c r="X19" s="47"/>
      <c r="Y19" s="48"/>
      <c r="Z19" s="49"/>
      <c r="AA19" s="50"/>
      <c r="AB19" s="51"/>
    </row>
    <row r="20" spans="1:28" ht="13.5" customHeight="1">
      <c r="A20" s="27"/>
      <c r="B20" s="44"/>
      <c r="C20" s="36"/>
      <c r="D20" s="6"/>
      <c r="E20" s="46" t="s">
        <v>33</v>
      </c>
      <c r="F20" s="47" t="s">
        <v>29</v>
      </c>
      <c r="G20" s="48">
        <v>0.1</v>
      </c>
      <c r="H20" s="46" t="s">
        <v>33</v>
      </c>
      <c r="I20" s="47" t="s">
        <v>29</v>
      </c>
      <c r="J20" s="48">
        <v>0.1</v>
      </c>
      <c r="K20" s="46" t="s">
        <v>33</v>
      </c>
      <c r="L20" s="47" t="s">
        <v>29</v>
      </c>
      <c r="M20" s="48">
        <v>0.1</v>
      </c>
      <c r="N20" s="46" t="s">
        <v>33</v>
      </c>
      <c r="O20" s="47" t="s">
        <v>29</v>
      </c>
      <c r="P20" s="48">
        <v>0.1</v>
      </c>
      <c r="Q20" s="46" t="s">
        <v>30</v>
      </c>
      <c r="R20" s="47" t="s">
        <v>29</v>
      </c>
      <c r="S20" s="48">
        <v>0.1</v>
      </c>
      <c r="T20" s="46" t="s">
        <v>30</v>
      </c>
      <c r="U20" s="47" t="s">
        <v>29</v>
      </c>
      <c r="V20" s="48">
        <v>0.2</v>
      </c>
      <c r="W20" s="46" t="s">
        <v>27</v>
      </c>
      <c r="X20" s="47" t="s">
        <v>2393</v>
      </c>
      <c r="Y20" s="48">
        <v>0.1</v>
      </c>
      <c r="Z20" s="49" t="s">
        <v>31</v>
      </c>
      <c r="AA20" s="50" t="s">
        <v>29</v>
      </c>
      <c r="AB20" s="51">
        <v>0.2</v>
      </c>
    </row>
    <row r="21" spans="1:28" ht="13.5" customHeight="1">
      <c r="A21" s="27"/>
      <c r="B21" s="44"/>
      <c r="C21" s="36"/>
      <c r="D21" s="6"/>
      <c r="E21" s="46" t="s">
        <v>37</v>
      </c>
      <c r="F21" s="47" t="s">
        <v>32</v>
      </c>
      <c r="G21" s="48">
        <v>0.7</v>
      </c>
      <c r="H21" s="46" t="s">
        <v>37</v>
      </c>
      <c r="I21" s="47" t="s">
        <v>32</v>
      </c>
      <c r="J21" s="48">
        <v>0.7</v>
      </c>
      <c r="K21" s="46" t="s">
        <v>37</v>
      </c>
      <c r="L21" s="47" t="s">
        <v>32</v>
      </c>
      <c r="M21" s="48">
        <v>0.6</v>
      </c>
      <c r="N21" s="46" t="s">
        <v>37</v>
      </c>
      <c r="O21" s="47" t="s">
        <v>32</v>
      </c>
      <c r="P21" s="48">
        <v>0.5</v>
      </c>
      <c r="Q21" s="46" t="s">
        <v>33</v>
      </c>
      <c r="R21" s="47" t="s">
        <v>32</v>
      </c>
      <c r="S21" s="48">
        <v>0.7</v>
      </c>
      <c r="T21" s="46" t="s">
        <v>33</v>
      </c>
      <c r="U21" s="47" t="s">
        <v>32</v>
      </c>
      <c r="V21" s="48">
        <v>0.8</v>
      </c>
      <c r="W21" s="46" t="s">
        <v>34</v>
      </c>
      <c r="X21" s="47" t="s">
        <v>2394</v>
      </c>
      <c r="Y21" s="48">
        <v>0.6</v>
      </c>
      <c r="Z21" s="49" t="s">
        <v>35</v>
      </c>
      <c r="AA21" s="50" t="s">
        <v>32</v>
      </c>
      <c r="AB21" s="51">
        <v>0.5</v>
      </c>
    </row>
    <row r="22" spans="1:28" ht="13.5" customHeight="1">
      <c r="A22" s="27"/>
      <c r="B22" s="44"/>
      <c r="C22" s="36"/>
      <c r="D22" s="6"/>
      <c r="E22" s="46" t="s">
        <v>41</v>
      </c>
      <c r="F22" s="47" t="s">
        <v>36</v>
      </c>
      <c r="G22" s="48">
        <v>2.4</v>
      </c>
      <c r="H22" s="46" t="s">
        <v>41</v>
      </c>
      <c r="I22" s="47" t="s">
        <v>36</v>
      </c>
      <c r="J22" s="48">
        <v>2.7</v>
      </c>
      <c r="K22" s="46" t="s">
        <v>41</v>
      </c>
      <c r="L22" s="47" t="s">
        <v>36</v>
      </c>
      <c r="M22" s="48">
        <v>2.4</v>
      </c>
      <c r="N22" s="46" t="s">
        <v>41</v>
      </c>
      <c r="O22" s="47" t="s">
        <v>36</v>
      </c>
      <c r="P22" s="48">
        <v>2.2999999999999998</v>
      </c>
      <c r="Q22" s="46" t="s">
        <v>37</v>
      </c>
      <c r="R22" s="47" t="s">
        <v>36</v>
      </c>
      <c r="S22" s="48">
        <v>2.5</v>
      </c>
      <c r="T22" s="46" t="s">
        <v>37</v>
      </c>
      <c r="U22" s="47" t="s">
        <v>36</v>
      </c>
      <c r="V22" s="48">
        <v>2.4</v>
      </c>
      <c r="W22" s="46" t="s">
        <v>38</v>
      </c>
      <c r="X22" s="47" t="s">
        <v>2395</v>
      </c>
      <c r="Y22" s="48">
        <v>2.5</v>
      </c>
      <c r="Z22" s="49" t="s">
        <v>39</v>
      </c>
      <c r="AA22" s="50" t="s">
        <v>36</v>
      </c>
      <c r="AB22" s="51">
        <v>2.5</v>
      </c>
    </row>
    <row r="23" spans="1:28" ht="13.5" customHeight="1">
      <c r="A23" s="27"/>
      <c r="B23" s="44"/>
      <c r="C23" s="36"/>
      <c r="D23" s="6"/>
      <c r="E23" s="46" t="s">
        <v>45</v>
      </c>
      <c r="F23" s="47" t="s">
        <v>40</v>
      </c>
      <c r="G23" s="48">
        <v>0.2</v>
      </c>
      <c r="H23" s="46" t="s">
        <v>45</v>
      </c>
      <c r="I23" s="47" t="s">
        <v>40</v>
      </c>
      <c r="J23" s="48">
        <v>0.2</v>
      </c>
      <c r="K23" s="46" t="s">
        <v>45</v>
      </c>
      <c r="L23" s="47" t="s">
        <v>40</v>
      </c>
      <c r="M23" s="48">
        <v>0.2</v>
      </c>
      <c r="N23" s="46" t="s">
        <v>45</v>
      </c>
      <c r="O23" s="47" t="s">
        <v>40</v>
      </c>
      <c r="P23" s="48">
        <v>0.2</v>
      </c>
      <c r="Q23" s="46" t="s">
        <v>41</v>
      </c>
      <c r="R23" s="47" t="s">
        <v>40</v>
      </c>
      <c r="S23" s="48">
        <v>0.2</v>
      </c>
      <c r="T23" s="46" t="s">
        <v>41</v>
      </c>
      <c r="U23" s="47" t="s">
        <v>40</v>
      </c>
      <c r="V23" s="48">
        <v>0.2</v>
      </c>
      <c r="W23" s="46" t="s">
        <v>42</v>
      </c>
      <c r="X23" s="47" t="s">
        <v>2396</v>
      </c>
      <c r="Y23" s="48">
        <v>0.2</v>
      </c>
      <c r="Z23" s="49" t="s">
        <v>43</v>
      </c>
      <c r="AA23" s="50" t="s">
        <v>40</v>
      </c>
      <c r="AB23" s="51">
        <v>0.3</v>
      </c>
    </row>
    <row r="24" spans="1:28" ht="13.5" customHeight="1">
      <c r="A24" s="27"/>
      <c r="B24" s="44"/>
      <c r="C24" s="36"/>
      <c r="D24" s="6"/>
      <c r="E24" s="46" t="s">
        <v>48</v>
      </c>
      <c r="F24" s="47" t="s">
        <v>44</v>
      </c>
      <c r="G24" s="48">
        <v>1.2</v>
      </c>
      <c r="H24" s="46" t="s">
        <v>48</v>
      </c>
      <c r="I24" s="47" t="s">
        <v>44</v>
      </c>
      <c r="J24" s="48">
        <v>1.3</v>
      </c>
      <c r="K24" s="46" t="s">
        <v>48</v>
      </c>
      <c r="L24" s="47" t="s">
        <v>44</v>
      </c>
      <c r="M24" s="48">
        <v>1.2</v>
      </c>
      <c r="N24" s="46" t="s">
        <v>48</v>
      </c>
      <c r="O24" s="47" t="s">
        <v>44</v>
      </c>
      <c r="P24" s="48">
        <v>1.2</v>
      </c>
      <c r="Q24" s="46" t="s">
        <v>45</v>
      </c>
      <c r="R24" s="47" t="s">
        <v>44</v>
      </c>
      <c r="S24" s="48">
        <v>1.3</v>
      </c>
      <c r="T24" s="46" t="s">
        <v>45</v>
      </c>
      <c r="U24" s="47" t="s">
        <v>44</v>
      </c>
      <c r="V24" s="48">
        <v>1.4</v>
      </c>
      <c r="W24" s="46" t="s">
        <v>46</v>
      </c>
      <c r="X24" s="47" t="s">
        <v>2397</v>
      </c>
      <c r="Y24" s="48">
        <v>1.3</v>
      </c>
      <c r="Z24" s="49" t="s">
        <v>47</v>
      </c>
      <c r="AA24" s="50" t="s">
        <v>44</v>
      </c>
      <c r="AB24" s="51">
        <v>1.2</v>
      </c>
    </row>
    <row r="25" spans="1:28" ht="13.5" customHeight="1">
      <c r="A25" s="27"/>
      <c r="B25" s="44"/>
      <c r="C25" s="36"/>
      <c r="D25" s="6"/>
      <c r="E25" s="46" t="s">
        <v>54</v>
      </c>
      <c r="F25" s="47" t="s">
        <v>2398</v>
      </c>
      <c r="G25" s="48">
        <v>0.4</v>
      </c>
      <c r="H25" s="46" t="s">
        <v>54</v>
      </c>
      <c r="I25" s="47" t="s">
        <v>2398</v>
      </c>
      <c r="J25" s="48">
        <v>0.4</v>
      </c>
      <c r="K25" s="46" t="s">
        <v>54</v>
      </c>
      <c r="L25" s="47" t="s">
        <v>2398</v>
      </c>
      <c r="M25" s="48">
        <v>0.4</v>
      </c>
      <c r="N25" s="46" t="s">
        <v>54</v>
      </c>
      <c r="O25" s="47" t="s">
        <v>2398</v>
      </c>
      <c r="P25" s="48">
        <v>0.5</v>
      </c>
      <c r="Q25" s="55" t="s">
        <v>48</v>
      </c>
      <c r="R25" s="47" t="s">
        <v>49</v>
      </c>
      <c r="S25" s="48">
        <v>0.7</v>
      </c>
      <c r="T25" s="55" t="s">
        <v>48</v>
      </c>
      <c r="U25" s="47" t="s">
        <v>49</v>
      </c>
      <c r="V25" s="48">
        <v>0.7</v>
      </c>
      <c r="W25" s="55" t="s">
        <v>50</v>
      </c>
      <c r="X25" s="47" t="s">
        <v>2399</v>
      </c>
      <c r="Y25" s="48">
        <v>0.6</v>
      </c>
      <c r="Z25" s="49" t="s">
        <v>51</v>
      </c>
      <c r="AA25" s="50" t="s">
        <v>52</v>
      </c>
      <c r="AB25" s="51">
        <v>0.4</v>
      </c>
    </row>
    <row r="26" spans="1:28" ht="13.5" customHeight="1">
      <c r="A26" s="27"/>
      <c r="B26" s="44"/>
      <c r="C26" s="36"/>
      <c r="D26" s="6"/>
      <c r="E26" s="46" t="s">
        <v>58</v>
      </c>
      <c r="F26" s="47" t="s">
        <v>53</v>
      </c>
      <c r="G26" s="48">
        <v>0.6</v>
      </c>
      <c r="H26" s="46" t="s">
        <v>58</v>
      </c>
      <c r="I26" s="47" t="s">
        <v>53</v>
      </c>
      <c r="J26" s="48">
        <v>0.4</v>
      </c>
      <c r="K26" s="46" t="s">
        <v>58</v>
      </c>
      <c r="L26" s="47" t="s">
        <v>53</v>
      </c>
      <c r="M26" s="48">
        <v>0.6</v>
      </c>
      <c r="N26" s="46" t="s">
        <v>58</v>
      </c>
      <c r="O26" s="47" t="s">
        <v>53</v>
      </c>
      <c r="P26" s="48">
        <v>0.6</v>
      </c>
      <c r="Q26" s="55" t="s">
        <v>54</v>
      </c>
      <c r="R26" s="47" t="s">
        <v>53</v>
      </c>
      <c r="S26" s="48">
        <v>0.6</v>
      </c>
      <c r="T26" s="55" t="s">
        <v>54</v>
      </c>
      <c r="U26" s="47" t="s">
        <v>53</v>
      </c>
      <c r="V26" s="48">
        <v>0.6</v>
      </c>
      <c r="W26" s="55" t="s">
        <v>55</v>
      </c>
      <c r="X26" s="47" t="s">
        <v>2400</v>
      </c>
      <c r="Y26" s="48">
        <v>0.1</v>
      </c>
      <c r="Z26" s="49" t="s">
        <v>56</v>
      </c>
      <c r="AA26" s="50" t="s">
        <v>53</v>
      </c>
      <c r="AB26" s="51">
        <v>0.1</v>
      </c>
    </row>
    <row r="27" spans="1:28" ht="13.5" customHeight="1">
      <c r="A27" s="27"/>
      <c r="B27" s="44"/>
      <c r="C27" s="36"/>
      <c r="D27" s="6"/>
      <c r="E27" s="46" t="s">
        <v>61</v>
      </c>
      <c r="F27" s="47" t="s">
        <v>57</v>
      </c>
      <c r="G27" s="48">
        <v>1.6</v>
      </c>
      <c r="H27" s="46" t="s">
        <v>61</v>
      </c>
      <c r="I27" s="47" t="s">
        <v>57</v>
      </c>
      <c r="J27" s="48">
        <v>1.6</v>
      </c>
      <c r="K27" s="46" t="s">
        <v>61</v>
      </c>
      <c r="L27" s="47" t="s">
        <v>57</v>
      </c>
      <c r="M27" s="48">
        <v>1.4</v>
      </c>
      <c r="N27" s="46" t="s">
        <v>61</v>
      </c>
      <c r="O27" s="47" t="s">
        <v>57</v>
      </c>
      <c r="P27" s="48">
        <v>1.5</v>
      </c>
      <c r="Q27" s="46" t="s">
        <v>58</v>
      </c>
      <c r="R27" s="47" t="s">
        <v>57</v>
      </c>
      <c r="S27" s="48">
        <v>1.4</v>
      </c>
      <c r="T27" s="46" t="s">
        <v>58</v>
      </c>
      <c r="U27" s="47" t="s">
        <v>57</v>
      </c>
      <c r="V27" s="48">
        <v>1.3</v>
      </c>
      <c r="W27" s="46" t="s">
        <v>59</v>
      </c>
      <c r="X27" s="47" t="s">
        <v>2401</v>
      </c>
      <c r="Y27" s="48">
        <v>1</v>
      </c>
      <c r="Z27" s="49" t="s">
        <v>60</v>
      </c>
      <c r="AA27" s="50" t="s">
        <v>57</v>
      </c>
      <c r="AB27" s="51">
        <v>1</v>
      </c>
    </row>
    <row r="28" spans="1:28" ht="13.5" customHeight="1">
      <c r="A28" s="27"/>
      <c r="B28" s="44"/>
      <c r="C28" s="36"/>
      <c r="D28" s="6"/>
      <c r="E28" s="46"/>
      <c r="F28" s="47"/>
      <c r="G28" s="48"/>
      <c r="H28" s="46"/>
      <c r="I28" s="47"/>
      <c r="J28" s="48"/>
      <c r="K28" s="46"/>
      <c r="L28" s="47"/>
      <c r="M28" s="48"/>
      <c r="N28" s="46"/>
      <c r="O28" s="47"/>
      <c r="P28" s="48"/>
      <c r="Q28" s="46" t="s">
        <v>61</v>
      </c>
      <c r="R28" s="47" t="s">
        <v>62</v>
      </c>
      <c r="S28" s="48">
        <v>0.4</v>
      </c>
      <c r="T28" s="46" t="s">
        <v>61</v>
      </c>
      <c r="U28" s="47" t="s">
        <v>62</v>
      </c>
      <c r="V28" s="48">
        <v>0.4</v>
      </c>
      <c r="W28" s="46" t="s">
        <v>63</v>
      </c>
      <c r="X28" s="47" t="s">
        <v>2402</v>
      </c>
      <c r="Y28" s="48">
        <v>0.4</v>
      </c>
      <c r="Z28" s="49" t="s">
        <v>64</v>
      </c>
      <c r="AA28" s="50" t="s">
        <v>62</v>
      </c>
      <c r="AB28" s="51">
        <v>0.5</v>
      </c>
    </row>
    <row r="29" spans="1:28" ht="13.5" customHeight="1">
      <c r="A29" s="27"/>
      <c r="B29" s="44"/>
      <c r="C29" s="36"/>
      <c r="D29" s="6"/>
      <c r="E29" s="46" t="s">
        <v>65</v>
      </c>
      <c r="F29" s="47" t="s">
        <v>66</v>
      </c>
      <c r="G29" s="48">
        <v>6.8</v>
      </c>
      <c r="H29" s="46" t="s">
        <v>65</v>
      </c>
      <c r="I29" s="47" t="s">
        <v>66</v>
      </c>
      <c r="J29" s="48">
        <v>6.5</v>
      </c>
      <c r="K29" s="46" t="s">
        <v>65</v>
      </c>
      <c r="L29" s="47" t="s">
        <v>66</v>
      </c>
      <c r="M29" s="48">
        <v>5.5</v>
      </c>
      <c r="N29" s="46" t="s">
        <v>65</v>
      </c>
      <c r="O29" s="47" t="s">
        <v>66</v>
      </c>
      <c r="P29" s="48">
        <v>5.4</v>
      </c>
      <c r="Q29" s="46" t="s">
        <v>65</v>
      </c>
      <c r="R29" s="47" t="s">
        <v>66</v>
      </c>
      <c r="S29" s="48">
        <v>4.9000000000000004</v>
      </c>
      <c r="T29" s="46" t="s">
        <v>65</v>
      </c>
      <c r="U29" s="47" t="s">
        <v>66</v>
      </c>
      <c r="V29" s="48">
        <v>4.5999999999999996</v>
      </c>
      <c r="W29" s="46" t="s">
        <v>67</v>
      </c>
      <c r="X29" s="47" t="s">
        <v>2403</v>
      </c>
      <c r="Y29" s="48">
        <v>3.2</v>
      </c>
      <c r="Z29" s="49" t="s">
        <v>68</v>
      </c>
      <c r="AA29" s="50" t="s">
        <v>66</v>
      </c>
      <c r="AB29" s="51">
        <v>3.1</v>
      </c>
    </row>
    <row r="30" spans="1:28" ht="13.5" customHeight="1">
      <c r="A30" s="27"/>
      <c r="B30" s="44"/>
      <c r="C30" s="36"/>
      <c r="D30" s="6"/>
      <c r="E30" s="46" t="s">
        <v>70</v>
      </c>
      <c r="F30" s="47" t="s">
        <v>69</v>
      </c>
      <c r="G30" s="48">
        <v>1.9</v>
      </c>
      <c r="H30" s="46" t="s">
        <v>70</v>
      </c>
      <c r="I30" s="47" t="s">
        <v>69</v>
      </c>
      <c r="J30" s="48">
        <v>2</v>
      </c>
      <c r="K30" s="46" t="s">
        <v>70</v>
      </c>
      <c r="L30" s="47" t="s">
        <v>69</v>
      </c>
      <c r="M30" s="48">
        <v>1.7</v>
      </c>
      <c r="N30" s="46" t="s">
        <v>70</v>
      </c>
      <c r="O30" s="47" t="s">
        <v>69</v>
      </c>
      <c r="P30" s="48">
        <v>1.7</v>
      </c>
      <c r="Q30" s="46" t="s">
        <v>2404</v>
      </c>
      <c r="R30" s="47" t="s">
        <v>69</v>
      </c>
      <c r="S30" s="48">
        <v>1.9</v>
      </c>
      <c r="T30" s="46" t="s">
        <v>70</v>
      </c>
      <c r="U30" s="47" t="s">
        <v>69</v>
      </c>
      <c r="V30" s="48">
        <v>2</v>
      </c>
      <c r="W30" s="46" t="s">
        <v>71</v>
      </c>
      <c r="X30" s="47" t="s">
        <v>2405</v>
      </c>
      <c r="Y30" s="48">
        <v>2</v>
      </c>
      <c r="Z30" s="49" t="s">
        <v>72</v>
      </c>
      <c r="AA30" s="50" t="s">
        <v>69</v>
      </c>
      <c r="AB30" s="51">
        <v>2.4</v>
      </c>
    </row>
    <row r="31" spans="1:28" ht="13.5" customHeight="1">
      <c r="A31" s="27"/>
      <c r="B31" s="44"/>
      <c r="C31" s="36"/>
      <c r="D31" s="6"/>
      <c r="E31" s="46"/>
      <c r="F31" s="56"/>
      <c r="G31" s="48"/>
      <c r="H31" s="46"/>
      <c r="I31" s="56"/>
      <c r="J31" s="48"/>
      <c r="K31" s="46"/>
      <c r="L31" s="56"/>
      <c r="M31" s="48"/>
      <c r="N31" s="46"/>
      <c r="O31" s="56"/>
      <c r="P31" s="48"/>
      <c r="Q31" s="57"/>
      <c r="R31" s="56"/>
      <c r="S31" s="58"/>
      <c r="T31" s="57"/>
      <c r="U31" s="56"/>
      <c r="V31" s="58"/>
      <c r="W31" s="57"/>
      <c r="X31" s="56"/>
      <c r="Y31" s="58"/>
      <c r="Z31" s="59"/>
      <c r="AA31" s="60"/>
      <c r="AB31" s="61"/>
    </row>
    <row r="32" spans="1:28" ht="13.5" customHeight="1">
      <c r="A32" s="27"/>
      <c r="B32" s="44"/>
      <c r="C32" s="36"/>
      <c r="D32" s="6"/>
      <c r="E32" s="46" t="s">
        <v>30</v>
      </c>
      <c r="F32" s="47" t="s">
        <v>73</v>
      </c>
      <c r="G32" s="48">
        <v>0.4</v>
      </c>
      <c r="H32" s="46" t="s">
        <v>30</v>
      </c>
      <c r="I32" s="47" t="s">
        <v>73</v>
      </c>
      <c r="J32" s="48">
        <v>0.4</v>
      </c>
      <c r="K32" s="46" t="s">
        <v>30</v>
      </c>
      <c r="L32" s="47" t="s">
        <v>73</v>
      </c>
      <c r="M32" s="48">
        <v>0.4</v>
      </c>
      <c r="N32" s="46" t="s">
        <v>30</v>
      </c>
      <c r="O32" s="47" t="s">
        <v>73</v>
      </c>
      <c r="P32" s="48">
        <v>0.4</v>
      </c>
      <c r="Q32" s="46" t="s">
        <v>74</v>
      </c>
      <c r="R32" s="47" t="s">
        <v>73</v>
      </c>
      <c r="S32" s="48">
        <v>0.5</v>
      </c>
      <c r="T32" s="46" t="s">
        <v>74</v>
      </c>
      <c r="U32" s="47" t="s">
        <v>73</v>
      </c>
      <c r="V32" s="48">
        <v>0.4</v>
      </c>
      <c r="W32" s="62"/>
      <c r="X32" s="63"/>
      <c r="Y32" s="64"/>
      <c r="Z32" s="65"/>
      <c r="AA32" s="66"/>
      <c r="AB32" s="67"/>
    </row>
    <row r="33" spans="1:28" ht="13.5" customHeight="1">
      <c r="A33" s="27"/>
      <c r="B33" s="44"/>
      <c r="C33" s="36"/>
      <c r="D33" s="6"/>
      <c r="E33" s="46" t="s">
        <v>2965</v>
      </c>
      <c r="F33" s="68" t="s">
        <v>2406</v>
      </c>
      <c r="G33" s="48">
        <v>0.1</v>
      </c>
      <c r="H33" s="46" t="s">
        <v>2965</v>
      </c>
      <c r="I33" s="68" t="s">
        <v>2406</v>
      </c>
      <c r="J33" s="48">
        <v>0.1</v>
      </c>
      <c r="K33" s="46" t="s">
        <v>2965</v>
      </c>
      <c r="L33" s="68" t="s">
        <v>2406</v>
      </c>
      <c r="M33" s="48">
        <v>0.1</v>
      </c>
      <c r="N33" s="46" t="s">
        <v>2965</v>
      </c>
      <c r="O33" s="68" t="s">
        <v>2406</v>
      </c>
      <c r="P33" s="48">
        <v>0.1</v>
      </c>
      <c r="Q33" s="69"/>
      <c r="R33" s="68"/>
      <c r="S33" s="70"/>
      <c r="T33" s="69"/>
      <c r="U33" s="68"/>
      <c r="V33" s="70"/>
      <c r="W33" s="62"/>
      <c r="X33" s="63"/>
      <c r="Y33" s="64"/>
      <c r="Z33" s="65"/>
      <c r="AA33" s="66"/>
      <c r="AB33" s="67"/>
    </row>
    <row r="34" spans="1:28" ht="13.5" customHeight="1">
      <c r="A34" s="27"/>
      <c r="B34" s="44"/>
      <c r="C34" s="28" t="s">
        <v>75</v>
      </c>
      <c r="D34" s="30" t="s">
        <v>76</v>
      </c>
      <c r="E34" s="37" t="s">
        <v>77</v>
      </c>
      <c r="F34" s="71"/>
      <c r="G34" s="39">
        <f>SUM(G35:G45)</f>
        <v>28.599999999999998</v>
      </c>
      <c r="H34" s="37" t="s">
        <v>77</v>
      </c>
      <c r="I34" s="71"/>
      <c r="J34" s="39">
        <f>SUM(J35:J45)</f>
        <v>30.4</v>
      </c>
      <c r="K34" s="37" t="s">
        <v>77</v>
      </c>
      <c r="L34" s="71"/>
      <c r="M34" s="39">
        <f>SUM(M35:M44)</f>
        <v>25.799999999999997</v>
      </c>
      <c r="N34" s="37" t="s">
        <v>77</v>
      </c>
      <c r="O34" s="71"/>
      <c r="P34" s="39">
        <f>SUM(P35:P44)</f>
        <v>25.7</v>
      </c>
      <c r="Q34" s="37" t="s">
        <v>77</v>
      </c>
      <c r="R34" s="71"/>
      <c r="S34" s="39">
        <f>SUM(S35:S44)</f>
        <v>24.2</v>
      </c>
      <c r="T34" s="37" t="s">
        <v>77</v>
      </c>
      <c r="U34" s="71"/>
      <c r="V34" s="39">
        <f>SUM(V35:V44)</f>
        <v>23.5</v>
      </c>
      <c r="W34" s="72"/>
      <c r="X34" s="71"/>
      <c r="Y34" s="39">
        <f>SUM(Y35:Y44)</f>
        <v>21</v>
      </c>
      <c r="Z34" s="73"/>
      <c r="AA34" s="74"/>
      <c r="AB34" s="39">
        <f>SUM(AB35:AB44)</f>
        <v>23.7</v>
      </c>
    </row>
    <row r="35" spans="1:28" ht="13.5" customHeight="1">
      <c r="A35" s="27"/>
      <c r="B35" s="44"/>
      <c r="C35" s="44"/>
      <c r="D35" s="45"/>
      <c r="E35" s="46" t="s">
        <v>78</v>
      </c>
      <c r="F35" s="47" t="s">
        <v>2407</v>
      </c>
      <c r="G35" s="48">
        <v>8.6</v>
      </c>
      <c r="H35" s="46" t="s">
        <v>78</v>
      </c>
      <c r="I35" s="47" t="s">
        <v>2407</v>
      </c>
      <c r="J35" s="48">
        <v>8.8000000000000007</v>
      </c>
      <c r="K35" s="46" t="s">
        <v>78</v>
      </c>
      <c r="L35" s="47" t="s">
        <v>2407</v>
      </c>
      <c r="M35" s="48">
        <v>7.6</v>
      </c>
      <c r="N35" s="46" t="s">
        <v>78</v>
      </c>
      <c r="O35" s="47" t="s">
        <v>2407</v>
      </c>
      <c r="P35" s="48">
        <v>8.1999999999999993</v>
      </c>
      <c r="Q35" s="46" t="s">
        <v>78</v>
      </c>
      <c r="R35" s="47" t="s">
        <v>79</v>
      </c>
      <c r="S35" s="48">
        <v>7</v>
      </c>
      <c r="T35" s="46" t="s">
        <v>78</v>
      </c>
      <c r="U35" s="47" t="s">
        <v>79</v>
      </c>
      <c r="V35" s="48">
        <v>7.8</v>
      </c>
      <c r="W35" s="46" t="s">
        <v>31</v>
      </c>
      <c r="X35" s="47" t="s">
        <v>2408</v>
      </c>
      <c r="Y35" s="48">
        <v>6.8</v>
      </c>
      <c r="Z35" s="49" t="s">
        <v>80</v>
      </c>
      <c r="AA35" s="50" t="s">
        <v>81</v>
      </c>
      <c r="AB35" s="51">
        <v>7.6</v>
      </c>
    </row>
    <row r="36" spans="1:28" ht="13.5" customHeight="1">
      <c r="A36" s="27"/>
      <c r="B36" s="44"/>
      <c r="C36" s="44"/>
      <c r="D36" s="6"/>
      <c r="E36" s="46" t="s">
        <v>82</v>
      </c>
      <c r="F36" s="47" t="s">
        <v>2409</v>
      </c>
      <c r="G36" s="48">
        <v>3.1</v>
      </c>
      <c r="H36" s="46" t="s">
        <v>82</v>
      </c>
      <c r="I36" s="47" t="s">
        <v>2409</v>
      </c>
      <c r="J36" s="48">
        <v>3.5</v>
      </c>
      <c r="K36" s="46" t="s">
        <v>82</v>
      </c>
      <c r="L36" s="47" t="s">
        <v>2409</v>
      </c>
      <c r="M36" s="48">
        <v>3.1</v>
      </c>
      <c r="N36" s="46" t="s">
        <v>82</v>
      </c>
      <c r="O36" s="47" t="s">
        <v>2409</v>
      </c>
      <c r="P36" s="48">
        <v>2.4</v>
      </c>
      <c r="Q36" s="46" t="s">
        <v>82</v>
      </c>
      <c r="R36" s="47" t="s">
        <v>83</v>
      </c>
      <c r="S36" s="48">
        <v>2.5</v>
      </c>
      <c r="T36" s="46" t="s">
        <v>82</v>
      </c>
      <c r="U36" s="47" t="s">
        <v>83</v>
      </c>
      <c r="V36" s="48">
        <v>1.6</v>
      </c>
      <c r="W36" s="46" t="s">
        <v>47</v>
      </c>
      <c r="X36" s="47" t="s">
        <v>2410</v>
      </c>
      <c r="Y36" s="48">
        <v>2</v>
      </c>
      <c r="Z36" s="49" t="s">
        <v>84</v>
      </c>
      <c r="AA36" s="50" t="s">
        <v>85</v>
      </c>
      <c r="AB36" s="51">
        <v>2.2999999999999998</v>
      </c>
    </row>
    <row r="37" spans="1:28" ht="13.5" customHeight="1">
      <c r="A37" s="27"/>
      <c r="B37" s="44"/>
      <c r="C37" s="44"/>
      <c r="D37" s="6"/>
      <c r="E37" s="46"/>
      <c r="F37" s="47"/>
      <c r="G37" s="48"/>
      <c r="H37" s="46"/>
      <c r="I37" s="47"/>
      <c r="J37" s="48"/>
      <c r="K37" s="46"/>
      <c r="L37" s="47"/>
      <c r="M37" s="48"/>
      <c r="N37" s="46"/>
      <c r="O37" s="47"/>
      <c r="P37" s="48"/>
      <c r="Q37" s="46"/>
      <c r="R37" s="47"/>
      <c r="S37" s="48"/>
      <c r="T37" s="46"/>
      <c r="U37" s="47"/>
      <c r="V37" s="48"/>
      <c r="W37" s="46"/>
      <c r="X37" s="47"/>
      <c r="Y37" s="48"/>
      <c r="Z37" s="49" t="s">
        <v>86</v>
      </c>
      <c r="AA37" s="50" t="s">
        <v>87</v>
      </c>
      <c r="AB37" s="51">
        <v>0.6</v>
      </c>
    </row>
    <row r="38" spans="1:28" ht="13.5" customHeight="1">
      <c r="A38" s="27"/>
      <c r="B38" s="44"/>
      <c r="C38" s="44"/>
      <c r="D38" s="6"/>
      <c r="E38" s="46"/>
      <c r="F38" s="47"/>
      <c r="G38" s="48"/>
      <c r="H38" s="46"/>
      <c r="I38" s="47"/>
      <c r="J38" s="48"/>
      <c r="K38" s="46"/>
      <c r="L38" s="47"/>
      <c r="M38" s="48"/>
      <c r="N38" s="46"/>
      <c r="O38" s="47"/>
      <c r="P38" s="48"/>
      <c r="Q38" s="46"/>
      <c r="R38" s="47"/>
      <c r="S38" s="48"/>
      <c r="T38" s="46"/>
      <c r="U38" s="47"/>
      <c r="V38" s="48"/>
      <c r="W38" s="46"/>
      <c r="X38" s="47"/>
      <c r="Y38" s="48"/>
      <c r="Z38" s="49" t="s">
        <v>88</v>
      </c>
      <c r="AA38" s="50" t="s">
        <v>89</v>
      </c>
      <c r="AB38" s="51">
        <v>2.1</v>
      </c>
    </row>
    <row r="39" spans="1:28" ht="13.5" customHeight="1">
      <c r="A39" s="27"/>
      <c r="B39" s="44"/>
      <c r="C39" s="44"/>
      <c r="D39" s="6"/>
      <c r="E39" s="46" t="s">
        <v>91</v>
      </c>
      <c r="F39" s="47" t="s">
        <v>90</v>
      </c>
      <c r="G39" s="48">
        <v>9.8000000000000007</v>
      </c>
      <c r="H39" s="46" t="s">
        <v>91</v>
      </c>
      <c r="I39" s="47" t="s">
        <v>90</v>
      </c>
      <c r="J39" s="48">
        <v>10.6</v>
      </c>
      <c r="K39" s="46" t="s">
        <v>91</v>
      </c>
      <c r="L39" s="47" t="s">
        <v>90</v>
      </c>
      <c r="M39" s="48">
        <v>9.1999999999999993</v>
      </c>
      <c r="N39" s="46" t="s">
        <v>91</v>
      </c>
      <c r="O39" s="47" t="s">
        <v>90</v>
      </c>
      <c r="P39" s="48">
        <v>9.1</v>
      </c>
      <c r="Q39" s="46" t="s">
        <v>91</v>
      </c>
      <c r="R39" s="47" t="s">
        <v>90</v>
      </c>
      <c r="S39" s="48">
        <v>8.4</v>
      </c>
      <c r="T39" s="46" t="s">
        <v>91</v>
      </c>
      <c r="U39" s="47" t="s">
        <v>90</v>
      </c>
      <c r="V39" s="48">
        <v>8.3000000000000007</v>
      </c>
      <c r="W39" s="46" t="s">
        <v>39</v>
      </c>
      <c r="X39" s="47" t="s">
        <v>2411</v>
      </c>
      <c r="Y39" s="48">
        <v>7.5</v>
      </c>
      <c r="Z39" s="49" t="s">
        <v>92</v>
      </c>
      <c r="AA39" s="50" t="s">
        <v>90</v>
      </c>
      <c r="AB39" s="51">
        <v>7.2</v>
      </c>
    </row>
    <row r="40" spans="1:28" ht="13.5" customHeight="1">
      <c r="A40" s="27"/>
      <c r="B40" s="44"/>
      <c r="C40" s="44"/>
      <c r="D40" s="6"/>
      <c r="E40" s="46" t="s">
        <v>94</v>
      </c>
      <c r="F40" s="47" t="s">
        <v>93</v>
      </c>
      <c r="G40" s="48">
        <v>1.5</v>
      </c>
      <c r="H40" s="46" t="s">
        <v>94</v>
      </c>
      <c r="I40" s="47" t="s">
        <v>93</v>
      </c>
      <c r="J40" s="48">
        <v>1.6</v>
      </c>
      <c r="K40" s="46" t="s">
        <v>94</v>
      </c>
      <c r="L40" s="47" t="s">
        <v>93</v>
      </c>
      <c r="M40" s="48">
        <v>1.5</v>
      </c>
      <c r="N40" s="46" t="s">
        <v>94</v>
      </c>
      <c r="O40" s="47" t="s">
        <v>93</v>
      </c>
      <c r="P40" s="48">
        <v>1.6</v>
      </c>
      <c r="Q40" s="46" t="s">
        <v>94</v>
      </c>
      <c r="R40" s="47" t="s">
        <v>93</v>
      </c>
      <c r="S40" s="48">
        <v>1.7</v>
      </c>
      <c r="T40" s="46" t="s">
        <v>94</v>
      </c>
      <c r="U40" s="47" t="s">
        <v>93</v>
      </c>
      <c r="V40" s="48">
        <v>1.9</v>
      </c>
      <c r="W40" s="46" t="s">
        <v>35</v>
      </c>
      <c r="X40" s="47" t="s">
        <v>2412</v>
      </c>
      <c r="Y40" s="48">
        <v>1.4</v>
      </c>
      <c r="Z40" s="49" t="s">
        <v>95</v>
      </c>
      <c r="AA40" s="50" t="s">
        <v>93</v>
      </c>
      <c r="AB40" s="51">
        <v>1.6</v>
      </c>
    </row>
    <row r="41" spans="1:28" ht="13.5" customHeight="1">
      <c r="A41" s="27"/>
      <c r="B41" s="44"/>
      <c r="C41" s="44"/>
      <c r="D41" s="6"/>
      <c r="E41" s="46" t="s">
        <v>97</v>
      </c>
      <c r="F41" s="47" t="s">
        <v>96</v>
      </c>
      <c r="G41" s="48">
        <v>2</v>
      </c>
      <c r="H41" s="46" t="s">
        <v>97</v>
      </c>
      <c r="I41" s="47" t="s">
        <v>96</v>
      </c>
      <c r="J41" s="48">
        <v>1.9</v>
      </c>
      <c r="K41" s="46" t="s">
        <v>97</v>
      </c>
      <c r="L41" s="47" t="s">
        <v>96</v>
      </c>
      <c r="M41" s="48">
        <v>1.5</v>
      </c>
      <c r="N41" s="46" t="s">
        <v>97</v>
      </c>
      <c r="O41" s="47" t="s">
        <v>96</v>
      </c>
      <c r="P41" s="48">
        <v>1.5</v>
      </c>
      <c r="Q41" s="46" t="s">
        <v>97</v>
      </c>
      <c r="R41" s="47" t="s">
        <v>96</v>
      </c>
      <c r="S41" s="48">
        <v>1.3</v>
      </c>
      <c r="T41" s="46" t="s">
        <v>97</v>
      </c>
      <c r="U41" s="47" t="s">
        <v>96</v>
      </c>
      <c r="V41" s="48">
        <v>1.1000000000000001</v>
      </c>
      <c r="W41" s="46" t="s">
        <v>98</v>
      </c>
      <c r="X41" s="47" t="s">
        <v>2413</v>
      </c>
      <c r="Y41" s="48">
        <v>0.8</v>
      </c>
      <c r="Z41" s="49" t="s">
        <v>99</v>
      </c>
      <c r="AA41" s="50" t="s">
        <v>96</v>
      </c>
      <c r="AB41" s="51">
        <v>0.5</v>
      </c>
    </row>
    <row r="42" spans="1:28" ht="13.5" customHeight="1">
      <c r="A42" s="27"/>
      <c r="B42" s="44"/>
      <c r="C42" s="44"/>
      <c r="D42" s="6"/>
      <c r="E42" s="46" t="s">
        <v>100</v>
      </c>
      <c r="F42" s="47" t="s">
        <v>2414</v>
      </c>
      <c r="G42" s="48">
        <v>2.7</v>
      </c>
      <c r="H42" s="46" t="s">
        <v>100</v>
      </c>
      <c r="I42" s="47" t="s">
        <v>2414</v>
      </c>
      <c r="J42" s="48">
        <v>3</v>
      </c>
      <c r="K42" s="46" t="s">
        <v>100</v>
      </c>
      <c r="L42" s="47" t="s">
        <v>2414</v>
      </c>
      <c r="M42" s="48">
        <v>2.9</v>
      </c>
      <c r="N42" s="46" t="s">
        <v>100</v>
      </c>
      <c r="O42" s="47" t="s">
        <v>2414</v>
      </c>
      <c r="P42" s="48">
        <v>2.9</v>
      </c>
      <c r="Q42" s="46" t="s">
        <v>100</v>
      </c>
      <c r="R42" s="47" t="s">
        <v>101</v>
      </c>
      <c r="S42" s="48">
        <v>1.5</v>
      </c>
      <c r="T42" s="46" t="s">
        <v>100</v>
      </c>
      <c r="U42" s="47" t="s">
        <v>101</v>
      </c>
      <c r="V42" s="48">
        <v>1.4</v>
      </c>
      <c r="W42" s="46" t="s">
        <v>51</v>
      </c>
      <c r="X42" s="47" t="s">
        <v>2415</v>
      </c>
      <c r="Y42" s="48">
        <v>1.7</v>
      </c>
      <c r="Z42" s="49" t="s">
        <v>102</v>
      </c>
      <c r="AA42" s="50" t="s">
        <v>101</v>
      </c>
      <c r="AB42" s="51">
        <v>1.8</v>
      </c>
    </row>
    <row r="43" spans="1:28" ht="13.5" customHeight="1">
      <c r="A43" s="27"/>
      <c r="B43" s="44"/>
      <c r="C43" s="44"/>
      <c r="D43" s="6"/>
      <c r="E43" s="46"/>
      <c r="F43" s="47"/>
      <c r="G43" s="48"/>
      <c r="H43" s="46"/>
      <c r="I43" s="47"/>
      <c r="J43" s="48"/>
      <c r="K43" s="46"/>
      <c r="L43" s="47"/>
      <c r="M43" s="48"/>
      <c r="N43" s="46"/>
      <c r="O43" s="47"/>
      <c r="P43" s="48"/>
      <c r="Q43" s="46" t="s">
        <v>103</v>
      </c>
      <c r="R43" s="47" t="s">
        <v>104</v>
      </c>
      <c r="S43" s="48">
        <v>1.8</v>
      </c>
      <c r="T43" s="46" t="s">
        <v>103</v>
      </c>
      <c r="U43" s="47" t="s">
        <v>104</v>
      </c>
      <c r="V43" s="48">
        <v>1.4</v>
      </c>
      <c r="W43" s="46" t="s">
        <v>56</v>
      </c>
      <c r="X43" s="47" t="s">
        <v>2416</v>
      </c>
      <c r="Y43" s="48">
        <v>0.8</v>
      </c>
      <c r="Z43" s="49"/>
      <c r="AA43" s="50"/>
      <c r="AB43" s="51"/>
    </row>
    <row r="44" spans="1:28" ht="13.5" customHeight="1">
      <c r="A44" s="27"/>
      <c r="B44" s="44"/>
      <c r="C44" s="44"/>
      <c r="D44" s="6"/>
      <c r="E44" s="57"/>
      <c r="F44" s="56"/>
      <c r="G44" s="58"/>
      <c r="H44" s="57"/>
      <c r="I44" s="56"/>
      <c r="J44" s="58"/>
      <c r="K44" s="57"/>
      <c r="L44" s="56"/>
      <c r="M44" s="58"/>
      <c r="N44" s="46"/>
      <c r="O44" s="56"/>
      <c r="P44" s="58"/>
      <c r="Q44" s="57"/>
      <c r="R44" s="56"/>
      <c r="S44" s="58"/>
      <c r="T44" s="57"/>
      <c r="U44" s="56"/>
      <c r="V44" s="58"/>
      <c r="W44" s="57"/>
      <c r="X44" s="56"/>
      <c r="Y44" s="58"/>
      <c r="Z44" s="59"/>
      <c r="AA44" s="60"/>
      <c r="AB44" s="61"/>
    </row>
    <row r="45" spans="1:28" ht="13.5" customHeight="1">
      <c r="A45" s="27"/>
      <c r="B45" s="44"/>
      <c r="C45" s="44"/>
      <c r="D45" s="6"/>
      <c r="E45" s="247" t="s">
        <v>103</v>
      </c>
      <c r="F45" s="75" t="s">
        <v>3048</v>
      </c>
      <c r="G45" s="77">
        <v>0.9</v>
      </c>
      <c r="H45" s="247" t="s">
        <v>103</v>
      </c>
      <c r="I45" s="75" t="s">
        <v>3048</v>
      </c>
      <c r="J45" s="77">
        <v>1</v>
      </c>
      <c r="K45" s="247"/>
      <c r="L45" s="75"/>
      <c r="M45" s="77"/>
      <c r="N45" s="69"/>
      <c r="O45" s="75"/>
      <c r="P45" s="77"/>
      <c r="Q45" s="247"/>
      <c r="R45" s="75"/>
      <c r="S45" s="77"/>
      <c r="T45" s="247"/>
      <c r="U45" s="75"/>
      <c r="V45" s="77"/>
      <c r="W45" s="76"/>
      <c r="X45" s="75"/>
      <c r="Y45" s="77"/>
      <c r="Z45" s="78"/>
      <c r="AA45" s="79"/>
      <c r="AB45" s="80"/>
    </row>
    <row r="46" spans="1:28" ht="13.5" customHeight="1">
      <c r="A46" s="27"/>
      <c r="B46" s="44"/>
      <c r="C46" s="28" t="s">
        <v>105</v>
      </c>
      <c r="D46" s="30" t="s">
        <v>106</v>
      </c>
      <c r="E46" s="37" t="s">
        <v>107</v>
      </c>
      <c r="F46" s="71"/>
      <c r="G46" s="39">
        <f>SUM(G47:G74)</f>
        <v>12.999999999999998</v>
      </c>
      <c r="H46" s="37" t="s">
        <v>107</v>
      </c>
      <c r="I46" s="71"/>
      <c r="J46" s="39">
        <f>SUM(J47:J74)</f>
        <v>15.000000000000002</v>
      </c>
      <c r="K46" s="37" t="s">
        <v>107</v>
      </c>
      <c r="L46" s="71"/>
      <c r="M46" s="39">
        <f>SUM(M47:M74)</f>
        <v>13.999999999999998</v>
      </c>
      <c r="N46" s="37" t="s">
        <v>107</v>
      </c>
      <c r="O46" s="71"/>
      <c r="P46" s="39">
        <f>SUM(P47:P74)</f>
        <v>14.3</v>
      </c>
      <c r="Q46" s="37" t="s">
        <v>107</v>
      </c>
      <c r="R46" s="71"/>
      <c r="S46" s="39">
        <f>SUM(S47:S72)</f>
        <v>14.7</v>
      </c>
      <c r="T46" s="37" t="s">
        <v>107</v>
      </c>
      <c r="U46" s="71"/>
      <c r="V46" s="39">
        <f>SUM(V47:V74)</f>
        <v>15.2</v>
      </c>
      <c r="W46" s="72"/>
      <c r="X46" s="71"/>
      <c r="Y46" s="39">
        <f>SUM(Y47:Y72)</f>
        <v>16.600000000000005</v>
      </c>
      <c r="Z46" s="73"/>
      <c r="AA46" s="74"/>
      <c r="AB46" s="39">
        <f>SUM(AB47:AB72)</f>
        <v>19.999999999999996</v>
      </c>
    </row>
    <row r="47" spans="1:28" ht="13.5" customHeight="1">
      <c r="A47" s="27"/>
      <c r="B47" s="44"/>
      <c r="C47" s="44"/>
      <c r="D47" s="45"/>
      <c r="E47" s="46" t="s">
        <v>109</v>
      </c>
      <c r="F47" s="47" t="s">
        <v>108</v>
      </c>
      <c r="G47" s="48">
        <v>1.1000000000000001</v>
      </c>
      <c r="H47" s="46" t="s">
        <v>109</v>
      </c>
      <c r="I47" s="47" t="s">
        <v>108</v>
      </c>
      <c r="J47" s="48">
        <v>1.3</v>
      </c>
      <c r="K47" s="46" t="s">
        <v>109</v>
      </c>
      <c r="L47" s="47" t="s">
        <v>108</v>
      </c>
      <c r="M47" s="48">
        <v>1.2</v>
      </c>
      <c r="N47" s="46" t="s">
        <v>109</v>
      </c>
      <c r="O47" s="47" t="s">
        <v>108</v>
      </c>
      <c r="P47" s="48">
        <v>0.8</v>
      </c>
      <c r="Q47" s="55" t="s">
        <v>109</v>
      </c>
      <c r="R47" s="47" t="s">
        <v>108</v>
      </c>
      <c r="S47" s="48">
        <v>1.2</v>
      </c>
      <c r="T47" s="55" t="s">
        <v>109</v>
      </c>
      <c r="U47" s="47" t="s">
        <v>108</v>
      </c>
      <c r="V47" s="48">
        <v>1.4</v>
      </c>
      <c r="W47" s="55" t="s">
        <v>110</v>
      </c>
      <c r="X47" s="47" t="s">
        <v>2417</v>
      </c>
      <c r="Y47" s="48">
        <v>1.8</v>
      </c>
      <c r="Z47" s="49" t="s">
        <v>111</v>
      </c>
      <c r="AA47" s="50" t="s">
        <v>108</v>
      </c>
      <c r="AB47" s="51">
        <v>2.2999999999999998</v>
      </c>
    </row>
    <row r="48" spans="1:28" ht="13.5" customHeight="1">
      <c r="A48" s="27"/>
      <c r="B48" s="44"/>
      <c r="C48" s="44"/>
      <c r="D48" s="6"/>
      <c r="E48" s="46" t="s">
        <v>113</v>
      </c>
      <c r="F48" s="47" t="s">
        <v>112</v>
      </c>
      <c r="G48" s="48">
        <v>0.7</v>
      </c>
      <c r="H48" s="46" t="s">
        <v>113</v>
      </c>
      <c r="I48" s="47" t="s">
        <v>112</v>
      </c>
      <c r="J48" s="48">
        <v>0.8</v>
      </c>
      <c r="K48" s="46" t="s">
        <v>113</v>
      </c>
      <c r="L48" s="47" t="s">
        <v>112</v>
      </c>
      <c r="M48" s="48">
        <v>1.1000000000000001</v>
      </c>
      <c r="N48" s="46" t="s">
        <v>113</v>
      </c>
      <c r="O48" s="47" t="s">
        <v>112</v>
      </c>
      <c r="P48" s="48">
        <v>1.1000000000000001</v>
      </c>
      <c r="Q48" s="55" t="s">
        <v>113</v>
      </c>
      <c r="R48" s="47" t="s">
        <v>112</v>
      </c>
      <c r="S48" s="48">
        <v>0.7</v>
      </c>
      <c r="T48" s="55" t="s">
        <v>113</v>
      </c>
      <c r="U48" s="47" t="s">
        <v>112</v>
      </c>
      <c r="V48" s="48">
        <v>0.9</v>
      </c>
      <c r="W48" s="55" t="s">
        <v>114</v>
      </c>
      <c r="X48" s="47" t="s">
        <v>2418</v>
      </c>
      <c r="Y48" s="48">
        <v>0.9</v>
      </c>
      <c r="Z48" s="49" t="s">
        <v>115</v>
      </c>
      <c r="AA48" s="50" t="s">
        <v>112</v>
      </c>
      <c r="AB48" s="51">
        <v>1.2</v>
      </c>
    </row>
    <row r="49" spans="1:28" ht="13.5" customHeight="1">
      <c r="A49" s="27"/>
      <c r="B49" s="44"/>
      <c r="C49" s="44"/>
      <c r="D49" s="6"/>
      <c r="E49" s="46" t="s">
        <v>117</v>
      </c>
      <c r="F49" s="47" t="s">
        <v>116</v>
      </c>
      <c r="G49" s="48">
        <v>0.9</v>
      </c>
      <c r="H49" s="46" t="s">
        <v>117</v>
      </c>
      <c r="I49" s="47" t="s">
        <v>116</v>
      </c>
      <c r="J49" s="48">
        <v>0.9</v>
      </c>
      <c r="K49" s="46" t="s">
        <v>117</v>
      </c>
      <c r="L49" s="47" t="s">
        <v>116</v>
      </c>
      <c r="M49" s="48">
        <v>1</v>
      </c>
      <c r="N49" s="46" t="s">
        <v>117</v>
      </c>
      <c r="O49" s="47" t="s">
        <v>116</v>
      </c>
      <c r="P49" s="48">
        <v>1.1000000000000001</v>
      </c>
      <c r="Q49" s="55" t="s">
        <v>117</v>
      </c>
      <c r="R49" s="47" t="s">
        <v>116</v>
      </c>
      <c r="S49" s="48">
        <v>1.4</v>
      </c>
      <c r="T49" s="55" t="s">
        <v>117</v>
      </c>
      <c r="U49" s="47" t="s">
        <v>116</v>
      </c>
      <c r="V49" s="48">
        <v>1.5</v>
      </c>
      <c r="W49" s="55" t="s">
        <v>118</v>
      </c>
      <c r="X49" s="47" t="s">
        <v>2419</v>
      </c>
      <c r="Y49" s="48">
        <v>2</v>
      </c>
      <c r="Z49" s="49" t="s">
        <v>119</v>
      </c>
      <c r="AA49" s="50" t="s">
        <v>116</v>
      </c>
      <c r="AB49" s="51">
        <v>2.8</v>
      </c>
    </row>
    <row r="50" spans="1:28" ht="13.5" customHeight="1">
      <c r="A50" s="27"/>
      <c r="B50" s="44"/>
      <c r="C50" s="44"/>
      <c r="D50" s="6"/>
      <c r="E50" s="46" t="s">
        <v>121</v>
      </c>
      <c r="F50" s="47" t="s">
        <v>120</v>
      </c>
      <c r="G50" s="48">
        <v>2</v>
      </c>
      <c r="H50" s="46" t="s">
        <v>121</v>
      </c>
      <c r="I50" s="47" t="s">
        <v>120</v>
      </c>
      <c r="J50" s="48">
        <v>2.2999999999999998</v>
      </c>
      <c r="K50" s="46" t="s">
        <v>121</v>
      </c>
      <c r="L50" s="47" t="s">
        <v>120</v>
      </c>
      <c r="M50" s="48">
        <v>2.1</v>
      </c>
      <c r="N50" s="46" t="s">
        <v>121</v>
      </c>
      <c r="O50" s="47" t="s">
        <v>120</v>
      </c>
      <c r="P50" s="48">
        <v>2.4</v>
      </c>
      <c r="Q50" s="55" t="s">
        <v>121</v>
      </c>
      <c r="R50" s="47" t="s">
        <v>120</v>
      </c>
      <c r="S50" s="48">
        <v>1.5</v>
      </c>
      <c r="T50" s="55" t="s">
        <v>121</v>
      </c>
      <c r="U50" s="47" t="s">
        <v>120</v>
      </c>
      <c r="V50" s="48">
        <v>1.5</v>
      </c>
      <c r="W50" s="55" t="s">
        <v>122</v>
      </c>
      <c r="X50" s="47" t="s">
        <v>2420</v>
      </c>
      <c r="Y50" s="48">
        <v>1.1000000000000001</v>
      </c>
      <c r="Z50" s="49" t="s">
        <v>123</v>
      </c>
      <c r="AA50" s="50" t="s">
        <v>120</v>
      </c>
      <c r="AB50" s="51">
        <v>1.3</v>
      </c>
    </row>
    <row r="51" spans="1:28" ht="13.5" customHeight="1">
      <c r="A51" s="27"/>
      <c r="B51" s="44"/>
      <c r="C51" s="44"/>
      <c r="D51" s="6"/>
      <c r="E51" s="46"/>
      <c r="F51" s="47"/>
      <c r="G51" s="48"/>
      <c r="H51" s="46"/>
      <c r="I51" s="47"/>
      <c r="J51" s="48"/>
      <c r="K51" s="46"/>
      <c r="L51" s="47"/>
      <c r="M51" s="48"/>
      <c r="N51" s="46"/>
      <c r="O51" s="47"/>
      <c r="P51" s="48"/>
      <c r="Q51" s="55" t="s">
        <v>124</v>
      </c>
      <c r="R51" s="47" t="s">
        <v>125</v>
      </c>
      <c r="S51" s="48">
        <v>0.1</v>
      </c>
      <c r="T51" s="55" t="s">
        <v>124</v>
      </c>
      <c r="U51" s="47" t="s">
        <v>125</v>
      </c>
      <c r="V51" s="48">
        <v>0.1</v>
      </c>
      <c r="W51" s="55" t="s">
        <v>126</v>
      </c>
      <c r="X51" s="47" t="s">
        <v>2421</v>
      </c>
      <c r="Y51" s="48">
        <v>0.2</v>
      </c>
      <c r="Z51" s="49" t="s">
        <v>127</v>
      </c>
      <c r="AA51" s="50" t="s">
        <v>125</v>
      </c>
      <c r="AB51" s="51">
        <v>0.2</v>
      </c>
    </row>
    <row r="52" spans="1:28" ht="13.5" customHeight="1">
      <c r="A52" s="27"/>
      <c r="B52" s="44"/>
      <c r="C52" s="44"/>
      <c r="D52" s="6"/>
      <c r="E52" s="46" t="s">
        <v>124</v>
      </c>
      <c r="F52" s="47" t="s">
        <v>128</v>
      </c>
      <c r="G52" s="48">
        <v>1</v>
      </c>
      <c r="H52" s="46" t="s">
        <v>124</v>
      </c>
      <c r="I52" s="47" t="s">
        <v>128</v>
      </c>
      <c r="J52" s="48">
        <v>1.2</v>
      </c>
      <c r="K52" s="46" t="s">
        <v>124</v>
      </c>
      <c r="L52" s="47" t="s">
        <v>128</v>
      </c>
      <c r="M52" s="48">
        <v>0.9</v>
      </c>
      <c r="N52" s="46" t="s">
        <v>124</v>
      </c>
      <c r="O52" s="47" t="s">
        <v>128</v>
      </c>
      <c r="P52" s="48">
        <v>1</v>
      </c>
      <c r="Q52" s="55" t="s">
        <v>129</v>
      </c>
      <c r="R52" s="47" t="s">
        <v>128</v>
      </c>
      <c r="S52" s="48">
        <v>1</v>
      </c>
      <c r="T52" s="55" t="s">
        <v>129</v>
      </c>
      <c r="U52" s="47" t="s">
        <v>128</v>
      </c>
      <c r="V52" s="48">
        <v>0.8</v>
      </c>
      <c r="W52" s="55" t="s">
        <v>130</v>
      </c>
      <c r="X52" s="47" t="s">
        <v>2422</v>
      </c>
      <c r="Y52" s="48">
        <v>0.9</v>
      </c>
      <c r="Z52" s="49" t="s">
        <v>131</v>
      </c>
      <c r="AA52" s="50" t="s">
        <v>132</v>
      </c>
      <c r="AB52" s="51">
        <v>1.1000000000000001</v>
      </c>
    </row>
    <row r="53" spans="1:28" ht="13.5" customHeight="1">
      <c r="A53" s="27"/>
      <c r="B53" s="44"/>
      <c r="C53" s="44"/>
      <c r="D53" s="6"/>
      <c r="E53" s="46"/>
      <c r="F53" s="47"/>
      <c r="G53" s="48"/>
      <c r="H53" s="46"/>
      <c r="I53" s="47"/>
      <c r="J53" s="48"/>
      <c r="K53" s="46"/>
      <c r="L53" s="47"/>
      <c r="M53" s="48"/>
      <c r="N53" s="46"/>
      <c r="O53" s="47"/>
      <c r="P53" s="48"/>
      <c r="Q53" s="55"/>
      <c r="R53" s="47"/>
      <c r="S53" s="48"/>
      <c r="T53" s="55"/>
      <c r="U53" s="47"/>
      <c r="V53" s="48"/>
      <c r="W53" s="55" t="s">
        <v>133</v>
      </c>
      <c r="X53" s="47" t="s">
        <v>2423</v>
      </c>
      <c r="Y53" s="48">
        <v>0.2</v>
      </c>
      <c r="Z53" s="49" t="s">
        <v>134</v>
      </c>
      <c r="AA53" s="50" t="s">
        <v>135</v>
      </c>
      <c r="AB53" s="51">
        <v>0.3</v>
      </c>
    </row>
    <row r="54" spans="1:28" ht="13.5" customHeight="1">
      <c r="A54" s="27"/>
      <c r="B54" s="44"/>
      <c r="C54" s="44"/>
      <c r="D54" s="6"/>
      <c r="E54" s="46"/>
      <c r="F54" s="47"/>
      <c r="G54" s="48"/>
      <c r="H54" s="46"/>
      <c r="I54" s="47"/>
      <c r="J54" s="48"/>
      <c r="K54" s="46"/>
      <c r="L54" s="47"/>
      <c r="M54" s="48"/>
      <c r="N54" s="46"/>
      <c r="O54" s="47"/>
      <c r="P54" s="48"/>
      <c r="Q54" s="55"/>
      <c r="R54" s="47"/>
      <c r="S54" s="48"/>
      <c r="T54" s="55"/>
      <c r="U54" s="47"/>
      <c r="V54" s="48"/>
      <c r="W54" s="55"/>
      <c r="X54" s="47"/>
      <c r="Y54" s="48"/>
      <c r="Z54" s="49"/>
      <c r="AA54" s="50"/>
      <c r="AB54" s="51"/>
    </row>
    <row r="55" spans="1:28" ht="13.5" customHeight="1">
      <c r="A55" s="27"/>
      <c r="B55" s="44"/>
      <c r="C55" s="44"/>
      <c r="D55" s="6"/>
      <c r="E55" s="46"/>
      <c r="F55" s="47"/>
      <c r="G55" s="48"/>
      <c r="H55" s="46"/>
      <c r="I55" s="47"/>
      <c r="J55" s="48"/>
      <c r="K55" s="46"/>
      <c r="L55" s="47"/>
      <c r="M55" s="48"/>
      <c r="N55" s="46"/>
      <c r="O55" s="47"/>
      <c r="P55" s="48"/>
      <c r="Q55" s="55"/>
      <c r="R55" s="47"/>
      <c r="S55" s="48"/>
      <c r="T55" s="55"/>
      <c r="U55" s="47"/>
      <c r="V55" s="48"/>
      <c r="W55" s="55"/>
      <c r="X55" s="47"/>
      <c r="Y55" s="48"/>
      <c r="Z55" s="49"/>
      <c r="AA55" s="50"/>
      <c r="AB55" s="51"/>
    </row>
    <row r="56" spans="1:28" ht="13.5" customHeight="1">
      <c r="A56" s="27"/>
      <c r="B56" s="44"/>
      <c r="C56" s="44"/>
      <c r="D56" s="6"/>
      <c r="E56" s="46" t="s">
        <v>185</v>
      </c>
      <c r="F56" s="47" t="s">
        <v>136</v>
      </c>
      <c r="G56" s="48">
        <v>0.4</v>
      </c>
      <c r="H56" s="46" t="s">
        <v>185</v>
      </c>
      <c r="I56" s="47" t="s">
        <v>136</v>
      </c>
      <c r="J56" s="48">
        <v>0.5</v>
      </c>
      <c r="K56" s="46" t="s">
        <v>185</v>
      </c>
      <c r="L56" s="47" t="s">
        <v>136</v>
      </c>
      <c r="M56" s="48">
        <v>0.7</v>
      </c>
      <c r="N56" s="46" t="s">
        <v>185</v>
      </c>
      <c r="O56" s="47" t="s">
        <v>136</v>
      </c>
      <c r="P56" s="48">
        <v>0.7</v>
      </c>
      <c r="Q56" s="55" t="s">
        <v>137</v>
      </c>
      <c r="R56" s="47" t="s">
        <v>136</v>
      </c>
      <c r="S56" s="48">
        <v>0.6</v>
      </c>
      <c r="T56" s="55" t="s">
        <v>137</v>
      </c>
      <c r="U56" s="47" t="s">
        <v>136</v>
      </c>
      <c r="V56" s="48">
        <v>0.6</v>
      </c>
      <c r="W56" s="55" t="s">
        <v>138</v>
      </c>
      <c r="X56" s="47" t="s">
        <v>2424</v>
      </c>
      <c r="Y56" s="48">
        <v>0.6</v>
      </c>
      <c r="Z56" s="49" t="s">
        <v>139</v>
      </c>
      <c r="AA56" s="50" t="s">
        <v>136</v>
      </c>
      <c r="AB56" s="51">
        <v>0.5</v>
      </c>
    </row>
    <row r="57" spans="1:28" ht="13.5" customHeight="1">
      <c r="A57" s="27"/>
      <c r="B57" s="44"/>
      <c r="C57" s="44"/>
      <c r="D57" s="6"/>
      <c r="E57" s="46" t="s">
        <v>137</v>
      </c>
      <c r="F57" s="47" t="s">
        <v>140</v>
      </c>
      <c r="G57" s="48">
        <v>0.6</v>
      </c>
      <c r="H57" s="46" t="s">
        <v>137</v>
      </c>
      <c r="I57" s="47" t="s">
        <v>140</v>
      </c>
      <c r="J57" s="48">
        <v>0.8</v>
      </c>
      <c r="K57" s="46" t="s">
        <v>137</v>
      </c>
      <c r="L57" s="47" t="s">
        <v>140</v>
      </c>
      <c r="M57" s="48">
        <v>1</v>
      </c>
      <c r="N57" s="46" t="s">
        <v>137</v>
      </c>
      <c r="O57" s="47" t="s">
        <v>140</v>
      </c>
      <c r="P57" s="48">
        <v>0.9</v>
      </c>
      <c r="Q57" s="55" t="s">
        <v>141</v>
      </c>
      <c r="R57" s="47" t="s">
        <v>140</v>
      </c>
      <c r="S57" s="48">
        <v>0.7</v>
      </c>
      <c r="T57" s="55" t="s">
        <v>141</v>
      </c>
      <c r="U57" s="47" t="s">
        <v>140</v>
      </c>
      <c r="V57" s="48">
        <v>0.8</v>
      </c>
      <c r="W57" s="55" t="s">
        <v>142</v>
      </c>
      <c r="X57" s="47" t="s">
        <v>2425</v>
      </c>
      <c r="Y57" s="48">
        <v>1.2</v>
      </c>
      <c r="Z57" s="49" t="s">
        <v>143</v>
      </c>
      <c r="AA57" s="50" t="s">
        <v>140</v>
      </c>
      <c r="AB57" s="51">
        <v>1.1000000000000001</v>
      </c>
    </row>
    <row r="58" spans="1:28" ht="13.5" customHeight="1">
      <c r="A58" s="27"/>
      <c r="B58" s="44"/>
      <c r="C58" s="36"/>
      <c r="D58" s="6"/>
      <c r="E58" s="46"/>
      <c r="F58" s="47"/>
      <c r="G58" s="48"/>
      <c r="H58" s="46"/>
      <c r="I58" s="47"/>
      <c r="J58" s="48"/>
      <c r="K58" s="46"/>
      <c r="L58" s="47"/>
      <c r="M58" s="48"/>
      <c r="N58" s="46"/>
      <c r="O58" s="47"/>
      <c r="P58" s="48"/>
      <c r="Q58" s="55"/>
      <c r="R58" s="47"/>
      <c r="S58" s="48"/>
      <c r="T58" s="55"/>
      <c r="U58" s="47"/>
      <c r="V58" s="48"/>
      <c r="W58" s="55" t="s">
        <v>144</v>
      </c>
      <c r="X58" s="47" t="s">
        <v>2426</v>
      </c>
      <c r="Y58" s="48">
        <v>1.3</v>
      </c>
      <c r="Z58" s="49" t="s">
        <v>145</v>
      </c>
      <c r="AA58" s="50" t="s">
        <v>146</v>
      </c>
      <c r="AB58" s="51">
        <v>2.2999999999999998</v>
      </c>
    </row>
    <row r="59" spans="1:28" ht="13.5" customHeight="1">
      <c r="A59" s="27"/>
      <c r="B59" s="44"/>
      <c r="C59" s="36"/>
      <c r="D59" s="6"/>
      <c r="E59" s="46"/>
      <c r="F59" s="47"/>
      <c r="G59" s="48"/>
      <c r="H59" s="46"/>
      <c r="I59" s="47"/>
      <c r="J59" s="48"/>
      <c r="K59" s="46"/>
      <c r="L59" s="47"/>
      <c r="M59" s="48"/>
      <c r="N59" s="46"/>
      <c r="O59" s="47"/>
      <c r="P59" s="48"/>
      <c r="Q59" s="55"/>
      <c r="R59" s="47"/>
      <c r="S59" s="48"/>
      <c r="T59" s="55"/>
      <c r="U59" s="47"/>
      <c r="V59" s="48"/>
      <c r="W59" s="55"/>
      <c r="X59" s="47"/>
      <c r="Y59" s="48"/>
      <c r="Z59" s="49"/>
      <c r="AA59" s="50"/>
      <c r="AB59" s="51"/>
    </row>
    <row r="60" spans="1:28" ht="13.5" customHeight="1">
      <c r="A60" s="27"/>
      <c r="B60" s="44"/>
      <c r="C60" s="36"/>
      <c r="D60" s="6"/>
      <c r="E60" s="46"/>
      <c r="F60" s="47"/>
      <c r="G60" s="48"/>
      <c r="H60" s="46"/>
      <c r="I60" s="47"/>
      <c r="J60" s="48"/>
      <c r="K60" s="46"/>
      <c r="L60" s="47"/>
      <c r="M60" s="48"/>
      <c r="N60" s="46"/>
      <c r="O60" s="47"/>
      <c r="P60" s="48"/>
      <c r="Q60" s="55"/>
      <c r="R60" s="47"/>
      <c r="S60" s="48"/>
      <c r="T60" s="55"/>
      <c r="U60" s="47"/>
      <c r="V60" s="48"/>
      <c r="W60" s="55" t="s">
        <v>147</v>
      </c>
      <c r="X60" s="47" t="s">
        <v>2427</v>
      </c>
      <c r="Y60" s="48">
        <v>0.4</v>
      </c>
      <c r="Z60" s="49" t="s">
        <v>148</v>
      </c>
      <c r="AA60" s="50" t="s">
        <v>149</v>
      </c>
      <c r="AB60" s="51">
        <v>0.2</v>
      </c>
    </row>
    <row r="61" spans="1:28" ht="13.5" customHeight="1">
      <c r="A61" s="27"/>
      <c r="B61" s="44"/>
      <c r="C61" s="36"/>
      <c r="D61" s="6"/>
      <c r="E61" s="46" t="s">
        <v>151</v>
      </c>
      <c r="F61" s="47" t="s">
        <v>150</v>
      </c>
      <c r="G61" s="48">
        <v>0.5</v>
      </c>
      <c r="H61" s="46" t="s">
        <v>151</v>
      </c>
      <c r="I61" s="47" t="s">
        <v>150</v>
      </c>
      <c r="J61" s="48">
        <v>0.7</v>
      </c>
      <c r="K61" s="46" t="s">
        <v>187</v>
      </c>
      <c r="L61" s="47" t="s">
        <v>150</v>
      </c>
      <c r="M61" s="48">
        <v>0.8</v>
      </c>
      <c r="N61" s="46" t="s">
        <v>187</v>
      </c>
      <c r="O61" s="47" t="s">
        <v>150</v>
      </c>
      <c r="P61" s="48">
        <v>0.8</v>
      </c>
      <c r="Q61" s="55" t="s">
        <v>151</v>
      </c>
      <c r="R61" s="47" t="s">
        <v>150</v>
      </c>
      <c r="S61" s="48">
        <v>1.2</v>
      </c>
      <c r="T61" s="55" t="s">
        <v>151</v>
      </c>
      <c r="U61" s="47" t="s">
        <v>150</v>
      </c>
      <c r="V61" s="48">
        <v>1.3</v>
      </c>
      <c r="W61" s="55" t="s">
        <v>152</v>
      </c>
      <c r="X61" s="47" t="s">
        <v>2428</v>
      </c>
      <c r="Y61" s="48">
        <v>1.3</v>
      </c>
      <c r="Z61" s="49" t="s">
        <v>153</v>
      </c>
      <c r="AA61" s="50" t="s">
        <v>150</v>
      </c>
      <c r="AB61" s="51">
        <v>1.2</v>
      </c>
    </row>
    <row r="62" spans="1:28" ht="13.5" customHeight="1">
      <c r="A62" s="27"/>
      <c r="B62" s="44"/>
      <c r="C62" s="36"/>
      <c r="D62" s="6"/>
      <c r="E62" s="46" t="s">
        <v>155</v>
      </c>
      <c r="F62" s="47" t="s">
        <v>154</v>
      </c>
      <c r="G62" s="48">
        <v>0.2</v>
      </c>
      <c r="H62" s="46" t="s">
        <v>155</v>
      </c>
      <c r="I62" s="47" t="s">
        <v>154</v>
      </c>
      <c r="J62" s="48">
        <v>0.2</v>
      </c>
      <c r="K62" s="46" t="s">
        <v>151</v>
      </c>
      <c r="L62" s="47" t="s">
        <v>154</v>
      </c>
      <c r="M62" s="48">
        <v>0.2</v>
      </c>
      <c r="N62" s="46" t="s">
        <v>151</v>
      </c>
      <c r="O62" s="47" t="s">
        <v>154</v>
      </c>
      <c r="P62" s="48">
        <v>0.3</v>
      </c>
      <c r="Q62" s="55" t="s">
        <v>155</v>
      </c>
      <c r="R62" s="47" t="s">
        <v>154</v>
      </c>
      <c r="S62" s="48">
        <v>0.3</v>
      </c>
      <c r="T62" s="55" t="s">
        <v>155</v>
      </c>
      <c r="U62" s="47" t="s">
        <v>154</v>
      </c>
      <c r="V62" s="48">
        <v>0.3</v>
      </c>
      <c r="W62" s="55" t="s">
        <v>156</v>
      </c>
      <c r="X62" s="47" t="s">
        <v>2429</v>
      </c>
      <c r="Y62" s="48">
        <v>0.4</v>
      </c>
      <c r="Z62" s="49" t="s">
        <v>157</v>
      </c>
      <c r="AA62" s="50" t="s">
        <v>154</v>
      </c>
      <c r="AB62" s="51">
        <v>0.7</v>
      </c>
    </row>
    <row r="63" spans="1:28" ht="13.5" customHeight="1">
      <c r="A63" s="27"/>
      <c r="B63" s="44"/>
      <c r="C63" s="36"/>
      <c r="D63" s="6"/>
      <c r="E63" s="46" t="s">
        <v>163</v>
      </c>
      <c r="F63" s="47" t="s">
        <v>158</v>
      </c>
      <c r="G63" s="48">
        <v>0.8</v>
      </c>
      <c r="H63" s="46" t="s">
        <v>163</v>
      </c>
      <c r="I63" s="47" t="s">
        <v>158</v>
      </c>
      <c r="J63" s="48">
        <v>0.9</v>
      </c>
      <c r="K63" s="46" t="s">
        <v>159</v>
      </c>
      <c r="L63" s="47" t="s">
        <v>158</v>
      </c>
      <c r="M63" s="48">
        <v>0.8</v>
      </c>
      <c r="N63" s="46" t="s">
        <v>159</v>
      </c>
      <c r="O63" s="47" t="s">
        <v>158</v>
      </c>
      <c r="P63" s="48">
        <v>0.9</v>
      </c>
      <c r="Q63" s="55" t="s">
        <v>159</v>
      </c>
      <c r="R63" s="47" t="s">
        <v>158</v>
      </c>
      <c r="S63" s="48">
        <v>1.1000000000000001</v>
      </c>
      <c r="T63" s="55" t="s">
        <v>159</v>
      </c>
      <c r="U63" s="47" t="s">
        <v>158</v>
      </c>
      <c r="V63" s="48">
        <v>1.1000000000000001</v>
      </c>
      <c r="W63" s="55" t="s">
        <v>160</v>
      </c>
      <c r="X63" s="47" t="s">
        <v>2430</v>
      </c>
      <c r="Y63" s="48">
        <v>0.9</v>
      </c>
      <c r="Z63" s="49" t="s">
        <v>161</v>
      </c>
      <c r="AA63" s="50" t="s">
        <v>158</v>
      </c>
      <c r="AB63" s="51">
        <v>1</v>
      </c>
    </row>
    <row r="64" spans="1:28" ht="13.5" customHeight="1">
      <c r="A64" s="27"/>
      <c r="B64" s="44"/>
      <c r="C64" s="36"/>
      <c r="D64" s="6"/>
      <c r="E64" s="46" t="s">
        <v>167</v>
      </c>
      <c r="F64" s="47" t="s">
        <v>162</v>
      </c>
      <c r="G64" s="48">
        <v>0.2</v>
      </c>
      <c r="H64" s="46" t="s">
        <v>167</v>
      </c>
      <c r="I64" s="47" t="s">
        <v>162</v>
      </c>
      <c r="J64" s="48">
        <v>0.3</v>
      </c>
      <c r="K64" s="46" t="s">
        <v>163</v>
      </c>
      <c r="L64" s="47" t="s">
        <v>162</v>
      </c>
      <c r="M64" s="48">
        <v>0.2</v>
      </c>
      <c r="N64" s="46" t="s">
        <v>163</v>
      </c>
      <c r="O64" s="47" t="s">
        <v>162</v>
      </c>
      <c r="P64" s="48">
        <v>0.2</v>
      </c>
      <c r="Q64" s="55" t="s">
        <v>163</v>
      </c>
      <c r="R64" s="47" t="s">
        <v>162</v>
      </c>
      <c r="S64" s="48">
        <v>0.3</v>
      </c>
      <c r="T64" s="55" t="s">
        <v>163</v>
      </c>
      <c r="U64" s="47" t="s">
        <v>162</v>
      </c>
      <c r="V64" s="48">
        <v>0.3</v>
      </c>
      <c r="W64" s="55" t="s">
        <v>164</v>
      </c>
      <c r="X64" s="47" t="s">
        <v>2431</v>
      </c>
      <c r="Y64" s="48">
        <v>0.3</v>
      </c>
      <c r="Z64" s="49" t="s">
        <v>165</v>
      </c>
      <c r="AA64" s="50" t="s">
        <v>162</v>
      </c>
      <c r="AB64" s="51">
        <v>0.4</v>
      </c>
    </row>
    <row r="65" spans="1:28" ht="13.5" customHeight="1">
      <c r="A65" s="27"/>
      <c r="B65" s="44"/>
      <c r="C65" s="36"/>
      <c r="D65" s="6"/>
      <c r="E65" s="46" t="s">
        <v>171</v>
      </c>
      <c r="F65" s="47" t="s">
        <v>3045</v>
      </c>
      <c r="G65" s="48">
        <v>0.7</v>
      </c>
      <c r="H65" s="46" t="s">
        <v>171</v>
      </c>
      <c r="I65" s="47" t="s">
        <v>3045</v>
      </c>
      <c r="J65" s="48">
        <v>0.8</v>
      </c>
      <c r="K65" s="46" t="s">
        <v>167</v>
      </c>
      <c r="L65" s="47" t="s">
        <v>166</v>
      </c>
      <c r="M65" s="48">
        <v>0.9</v>
      </c>
      <c r="N65" s="46" t="s">
        <v>167</v>
      </c>
      <c r="O65" s="47" t="s">
        <v>166</v>
      </c>
      <c r="P65" s="48">
        <v>0.9</v>
      </c>
      <c r="Q65" s="55" t="s">
        <v>167</v>
      </c>
      <c r="R65" s="47" t="s">
        <v>166</v>
      </c>
      <c r="S65" s="48">
        <v>1.2</v>
      </c>
      <c r="T65" s="55" t="s">
        <v>167</v>
      </c>
      <c r="U65" s="47" t="s">
        <v>166</v>
      </c>
      <c r="V65" s="48">
        <v>1.1000000000000001</v>
      </c>
      <c r="W65" s="55" t="s">
        <v>168</v>
      </c>
      <c r="X65" s="47" t="s">
        <v>2432</v>
      </c>
      <c r="Y65" s="48">
        <v>1.1000000000000001</v>
      </c>
      <c r="Z65" s="49" t="s">
        <v>169</v>
      </c>
      <c r="AA65" s="50" t="s">
        <v>166</v>
      </c>
      <c r="AB65" s="51">
        <v>0.8</v>
      </c>
    </row>
    <row r="66" spans="1:28" ht="13.5" customHeight="1">
      <c r="A66" s="27"/>
      <c r="B66" s="44"/>
      <c r="C66" s="36"/>
      <c r="D66" s="6"/>
      <c r="E66" s="46" t="s">
        <v>3046</v>
      </c>
      <c r="F66" s="47" t="s">
        <v>170</v>
      </c>
      <c r="G66" s="48">
        <v>0.7</v>
      </c>
      <c r="H66" s="46" t="s">
        <v>3046</v>
      </c>
      <c r="I66" s="47" t="s">
        <v>170</v>
      </c>
      <c r="J66" s="48">
        <v>0.8</v>
      </c>
      <c r="K66" s="46" t="s">
        <v>171</v>
      </c>
      <c r="L66" s="47" t="s">
        <v>170</v>
      </c>
      <c r="M66" s="48">
        <v>0.7</v>
      </c>
      <c r="N66" s="46" t="s">
        <v>171</v>
      </c>
      <c r="O66" s="47" t="s">
        <v>170</v>
      </c>
      <c r="P66" s="48">
        <v>0.6</v>
      </c>
      <c r="Q66" s="55" t="s">
        <v>171</v>
      </c>
      <c r="R66" s="47" t="s">
        <v>170</v>
      </c>
      <c r="S66" s="48">
        <v>0.8</v>
      </c>
      <c r="T66" s="55" t="s">
        <v>171</v>
      </c>
      <c r="U66" s="47" t="s">
        <v>170</v>
      </c>
      <c r="V66" s="48">
        <v>0.8</v>
      </c>
      <c r="W66" s="55" t="s">
        <v>172</v>
      </c>
      <c r="X66" s="47" t="s">
        <v>2433</v>
      </c>
      <c r="Y66" s="48">
        <v>1.1000000000000001</v>
      </c>
      <c r="Z66" s="49" t="s">
        <v>173</v>
      </c>
      <c r="AA66" s="50" t="s">
        <v>170</v>
      </c>
      <c r="AB66" s="51">
        <v>0.9</v>
      </c>
    </row>
    <row r="67" spans="1:28" ht="13.5" customHeight="1">
      <c r="A67" s="27"/>
      <c r="B67" s="44"/>
      <c r="C67" s="36"/>
      <c r="D67" s="6"/>
      <c r="E67" s="46"/>
      <c r="F67" s="47"/>
      <c r="G67" s="48"/>
      <c r="H67" s="46"/>
      <c r="I67" s="47"/>
      <c r="J67" s="48"/>
      <c r="K67" s="46"/>
      <c r="L67" s="47"/>
      <c r="M67" s="48"/>
      <c r="N67" s="46"/>
      <c r="O67" s="47"/>
      <c r="P67" s="48"/>
      <c r="Q67" s="55"/>
      <c r="R67" s="47"/>
      <c r="S67" s="48"/>
      <c r="T67" s="55"/>
      <c r="U67" s="47"/>
      <c r="V67" s="48"/>
      <c r="W67" s="55"/>
      <c r="X67" s="47"/>
      <c r="Y67" s="48"/>
      <c r="Z67" s="49" t="s">
        <v>174</v>
      </c>
      <c r="AA67" s="50" t="s">
        <v>175</v>
      </c>
      <c r="AB67" s="51">
        <v>0.7</v>
      </c>
    </row>
    <row r="68" spans="1:28" ht="13.5" customHeight="1">
      <c r="A68" s="27"/>
      <c r="B68" s="44"/>
      <c r="C68" s="36"/>
      <c r="D68" s="6"/>
      <c r="E68" s="46"/>
      <c r="F68" s="47"/>
      <c r="G68" s="48"/>
      <c r="H68" s="46"/>
      <c r="I68" s="47"/>
      <c r="J68" s="48"/>
      <c r="K68" s="46"/>
      <c r="L68" s="47"/>
      <c r="M68" s="48"/>
      <c r="N68" s="46"/>
      <c r="O68" s="47"/>
      <c r="P68" s="48"/>
      <c r="Q68" s="55"/>
      <c r="R68" s="47"/>
      <c r="S68" s="48"/>
      <c r="T68" s="55"/>
      <c r="U68" s="47"/>
      <c r="V68" s="48"/>
      <c r="W68" s="55"/>
      <c r="X68" s="47"/>
      <c r="Y68" s="48"/>
      <c r="Z68" s="49"/>
      <c r="AA68" s="50"/>
      <c r="AB68" s="51"/>
    </row>
    <row r="69" spans="1:28" ht="13.5" customHeight="1">
      <c r="A69" s="27"/>
      <c r="B69" s="44"/>
      <c r="C69" s="36"/>
      <c r="D69" s="6"/>
      <c r="E69" s="46" t="s">
        <v>181</v>
      </c>
      <c r="F69" s="47" t="s">
        <v>176</v>
      </c>
      <c r="G69" s="48">
        <v>0.2</v>
      </c>
      <c r="H69" s="46" t="s">
        <v>181</v>
      </c>
      <c r="I69" s="47" t="s">
        <v>176</v>
      </c>
      <c r="J69" s="48">
        <v>0.2</v>
      </c>
      <c r="K69" s="46" t="s">
        <v>177</v>
      </c>
      <c r="L69" s="47" t="s">
        <v>176</v>
      </c>
      <c r="M69" s="48">
        <v>0.2</v>
      </c>
      <c r="N69" s="46" t="s">
        <v>177</v>
      </c>
      <c r="O69" s="47" t="s">
        <v>176</v>
      </c>
      <c r="P69" s="48">
        <v>0.3</v>
      </c>
      <c r="Q69" s="46" t="s">
        <v>177</v>
      </c>
      <c r="R69" s="47" t="s">
        <v>176</v>
      </c>
      <c r="S69" s="48">
        <v>0.3</v>
      </c>
      <c r="T69" s="46" t="s">
        <v>177</v>
      </c>
      <c r="U69" s="47" t="s">
        <v>176</v>
      </c>
      <c r="V69" s="48">
        <v>0.3</v>
      </c>
      <c r="W69" s="46" t="s">
        <v>178</v>
      </c>
      <c r="X69" s="47" t="s">
        <v>2434</v>
      </c>
      <c r="Y69" s="48">
        <v>0.8</v>
      </c>
      <c r="Z69" s="49" t="s">
        <v>179</v>
      </c>
      <c r="AA69" s="50" t="s">
        <v>176</v>
      </c>
      <c r="AB69" s="51">
        <v>0.9</v>
      </c>
    </row>
    <row r="70" spans="1:28" ht="13.5" customHeight="1">
      <c r="A70" s="27"/>
      <c r="B70" s="44"/>
      <c r="C70" s="36"/>
      <c r="D70" s="6"/>
      <c r="E70" s="46" t="s">
        <v>159</v>
      </c>
      <c r="F70" s="47" t="s">
        <v>180</v>
      </c>
      <c r="G70" s="48">
        <v>0.4</v>
      </c>
      <c r="H70" s="46" t="s">
        <v>159</v>
      </c>
      <c r="I70" s="47" t="s">
        <v>180</v>
      </c>
      <c r="J70" s="48">
        <v>0.5</v>
      </c>
      <c r="K70" s="46" t="s">
        <v>181</v>
      </c>
      <c r="L70" s="47" t="s">
        <v>180</v>
      </c>
      <c r="M70" s="48">
        <v>0.5</v>
      </c>
      <c r="N70" s="46" t="s">
        <v>181</v>
      </c>
      <c r="O70" s="47" t="s">
        <v>180</v>
      </c>
      <c r="P70" s="48">
        <v>0.5</v>
      </c>
      <c r="Q70" s="55" t="s">
        <v>181</v>
      </c>
      <c r="R70" s="47" t="s">
        <v>180</v>
      </c>
      <c r="S70" s="48">
        <v>0.7</v>
      </c>
      <c r="T70" s="55" t="s">
        <v>181</v>
      </c>
      <c r="U70" s="47" t="s">
        <v>180</v>
      </c>
      <c r="V70" s="48">
        <v>0.6</v>
      </c>
      <c r="W70" s="55" t="s">
        <v>182</v>
      </c>
      <c r="X70" s="47" t="s">
        <v>2435</v>
      </c>
      <c r="Y70" s="48">
        <v>0.1</v>
      </c>
      <c r="Z70" s="49" t="s">
        <v>183</v>
      </c>
      <c r="AA70" s="50" t="s">
        <v>180</v>
      </c>
      <c r="AB70" s="51">
        <v>0.1</v>
      </c>
    </row>
    <row r="71" spans="1:28" ht="13.5" customHeight="1">
      <c r="A71" s="27"/>
      <c r="B71" s="44"/>
      <c r="C71" s="36"/>
      <c r="D71" s="6"/>
      <c r="E71" s="46" t="s">
        <v>129</v>
      </c>
      <c r="F71" s="47" t="s">
        <v>184</v>
      </c>
      <c r="G71" s="48">
        <v>0.9</v>
      </c>
      <c r="H71" s="46" t="s">
        <v>129</v>
      </c>
      <c r="I71" s="47" t="s">
        <v>184</v>
      </c>
      <c r="J71" s="48">
        <v>0.9</v>
      </c>
      <c r="K71" s="46" t="s">
        <v>129</v>
      </c>
      <c r="L71" s="47" t="s">
        <v>184</v>
      </c>
      <c r="M71" s="48">
        <v>0.7</v>
      </c>
      <c r="N71" s="46" t="s">
        <v>129</v>
      </c>
      <c r="O71" s="47" t="s">
        <v>184</v>
      </c>
      <c r="P71" s="48">
        <v>0.7</v>
      </c>
      <c r="Q71" s="55" t="s">
        <v>185</v>
      </c>
      <c r="R71" s="47" t="s">
        <v>184</v>
      </c>
      <c r="S71" s="48">
        <v>1</v>
      </c>
      <c r="T71" s="55" t="s">
        <v>185</v>
      </c>
      <c r="U71" s="47" t="s">
        <v>184</v>
      </c>
      <c r="V71" s="48">
        <v>1.2</v>
      </c>
      <c r="W71" s="46"/>
      <c r="X71" s="47"/>
      <c r="Y71" s="48"/>
      <c r="Z71" s="49"/>
      <c r="AA71" s="50"/>
      <c r="AB71" s="51"/>
    </row>
    <row r="72" spans="1:28" ht="13.5" customHeight="1">
      <c r="A72" s="27"/>
      <c r="B72" s="44"/>
      <c r="C72" s="36"/>
      <c r="D72" s="6"/>
      <c r="E72" s="46" t="s">
        <v>141</v>
      </c>
      <c r="F72" s="47" t="s">
        <v>186</v>
      </c>
      <c r="G72" s="48">
        <v>0.5</v>
      </c>
      <c r="H72" s="46" t="s">
        <v>141</v>
      </c>
      <c r="I72" s="47" t="s">
        <v>186</v>
      </c>
      <c r="J72" s="48">
        <v>0.5</v>
      </c>
      <c r="K72" s="46" t="s">
        <v>141</v>
      </c>
      <c r="L72" s="47" t="s">
        <v>186</v>
      </c>
      <c r="M72" s="48">
        <v>0.5</v>
      </c>
      <c r="N72" s="46" t="s">
        <v>141</v>
      </c>
      <c r="O72" s="47" t="s">
        <v>186</v>
      </c>
      <c r="P72" s="48">
        <v>0.6</v>
      </c>
      <c r="Q72" s="55" t="s">
        <v>187</v>
      </c>
      <c r="R72" s="47" t="s">
        <v>186</v>
      </c>
      <c r="S72" s="48">
        <v>0.6</v>
      </c>
      <c r="T72" s="55" t="s">
        <v>187</v>
      </c>
      <c r="U72" s="47" t="s">
        <v>186</v>
      </c>
      <c r="V72" s="48">
        <v>0.6</v>
      </c>
      <c r="W72" s="46"/>
      <c r="X72" s="47"/>
      <c r="Y72" s="48"/>
      <c r="Z72" s="49"/>
      <c r="AA72" s="50"/>
      <c r="AB72" s="51"/>
    </row>
    <row r="73" spans="1:28" ht="13.5" customHeight="1">
      <c r="A73" s="27"/>
      <c r="B73" s="44"/>
      <c r="C73" s="36"/>
      <c r="D73" s="6"/>
      <c r="E73" s="46" t="s">
        <v>177</v>
      </c>
      <c r="F73" s="68" t="s">
        <v>3044</v>
      </c>
      <c r="G73" s="48">
        <v>0.5</v>
      </c>
      <c r="H73" s="46" t="s">
        <v>177</v>
      </c>
      <c r="I73" s="68" t="s">
        <v>3044</v>
      </c>
      <c r="J73" s="48">
        <v>0.5</v>
      </c>
      <c r="K73" s="46" t="s">
        <v>155</v>
      </c>
      <c r="L73" s="68" t="s">
        <v>3044</v>
      </c>
      <c r="M73" s="48">
        <v>0.5</v>
      </c>
      <c r="N73" s="46" t="s">
        <v>155</v>
      </c>
      <c r="O73" s="68" t="s">
        <v>3044</v>
      </c>
      <c r="P73" s="48">
        <v>0.5</v>
      </c>
      <c r="Q73" s="81"/>
      <c r="R73" s="68"/>
      <c r="S73" s="70"/>
      <c r="T73" s="81"/>
      <c r="U73" s="68"/>
      <c r="V73" s="70"/>
      <c r="W73" s="62"/>
      <c r="X73" s="63"/>
      <c r="Y73" s="64"/>
      <c r="Z73" s="65"/>
      <c r="AA73" s="66"/>
      <c r="AB73" s="67"/>
    </row>
    <row r="74" spans="1:28" ht="13.5" customHeight="1">
      <c r="A74" s="27"/>
      <c r="B74" s="44"/>
      <c r="C74" s="36"/>
      <c r="D74" s="6"/>
      <c r="E74" s="46" t="s">
        <v>187</v>
      </c>
      <c r="F74" s="68" t="s">
        <v>3047</v>
      </c>
      <c r="G74" s="48">
        <v>0.7</v>
      </c>
      <c r="H74" s="46" t="s">
        <v>187</v>
      </c>
      <c r="I74" s="68" t="s">
        <v>3047</v>
      </c>
      <c r="J74" s="48">
        <v>0.9</v>
      </c>
      <c r="K74" s="46"/>
      <c r="L74" s="68"/>
      <c r="M74" s="48"/>
      <c r="N74" s="46"/>
      <c r="O74" s="68"/>
      <c r="P74" s="48"/>
      <c r="Q74" s="81"/>
      <c r="R74" s="68"/>
      <c r="S74" s="70"/>
      <c r="T74" s="81"/>
      <c r="U74" s="68"/>
      <c r="V74" s="70"/>
      <c r="W74" s="62"/>
      <c r="X74" s="63"/>
      <c r="Y74" s="64"/>
      <c r="Z74" s="65"/>
      <c r="AA74" s="66"/>
      <c r="AB74" s="67"/>
    </row>
    <row r="75" spans="1:28" ht="13.5" customHeight="1">
      <c r="A75" s="27"/>
      <c r="B75" s="44"/>
      <c r="C75" s="28" t="s">
        <v>188</v>
      </c>
      <c r="D75" s="30" t="s">
        <v>189</v>
      </c>
      <c r="E75" s="37" t="s">
        <v>190</v>
      </c>
      <c r="F75" s="71"/>
      <c r="G75" s="39">
        <f>SUM(G76:G83)</f>
        <v>9.6</v>
      </c>
      <c r="H75" s="37" t="s">
        <v>190</v>
      </c>
      <c r="I75" s="71"/>
      <c r="J75" s="39">
        <f>SUM(J76:J83)</f>
        <v>10.5</v>
      </c>
      <c r="K75" s="37" t="s">
        <v>190</v>
      </c>
      <c r="L75" s="71"/>
      <c r="M75" s="39">
        <f>SUM(M76:M83)</f>
        <v>10.199999999999999</v>
      </c>
      <c r="N75" s="37" t="s">
        <v>190</v>
      </c>
      <c r="O75" s="71"/>
      <c r="P75" s="39">
        <f>SUM(P76:P83)</f>
        <v>10.8</v>
      </c>
      <c r="Q75" s="37" t="s">
        <v>190</v>
      </c>
      <c r="R75" s="71"/>
      <c r="S75" s="39">
        <f>SUM(S76:S83)</f>
        <v>11.600000000000001</v>
      </c>
      <c r="T75" s="37" t="s">
        <v>190</v>
      </c>
      <c r="U75" s="71"/>
      <c r="V75" s="39">
        <f>SUM(V76:V83)</f>
        <v>11.600000000000001</v>
      </c>
      <c r="W75" s="72"/>
      <c r="X75" s="71"/>
      <c r="Y75" s="39">
        <f>SUM(Y76:Y83)</f>
        <v>11.2</v>
      </c>
      <c r="Z75" s="73"/>
      <c r="AA75" s="74"/>
      <c r="AB75" s="39">
        <f>SUM(AB76:AB83)</f>
        <v>12.400000000000002</v>
      </c>
    </row>
    <row r="76" spans="1:28" ht="13.5" customHeight="1">
      <c r="A76" s="27"/>
      <c r="B76" s="44"/>
      <c r="C76" s="44"/>
      <c r="D76" s="45"/>
      <c r="E76" s="46" t="s">
        <v>192</v>
      </c>
      <c r="F76" s="47" t="s">
        <v>191</v>
      </c>
      <c r="G76" s="48">
        <v>3.4</v>
      </c>
      <c r="H76" s="46" t="s">
        <v>192</v>
      </c>
      <c r="I76" s="47" t="s">
        <v>191</v>
      </c>
      <c r="J76" s="48">
        <v>4.0999999999999996</v>
      </c>
      <c r="K76" s="46" t="s">
        <v>192</v>
      </c>
      <c r="L76" s="47" t="s">
        <v>191</v>
      </c>
      <c r="M76" s="48">
        <v>4.3</v>
      </c>
      <c r="N76" s="46" t="s">
        <v>192</v>
      </c>
      <c r="O76" s="47" t="s">
        <v>191</v>
      </c>
      <c r="P76" s="48">
        <v>4.9000000000000004</v>
      </c>
      <c r="Q76" s="46" t="s">
        <v>192</v>
      </c>
      <c r="R76" s="47" t="s">
        <v>191</v>
      </c>
      <c r="S76" s="48">
        <v>5.7</v>
      </c>
      <c r="T76" s="46" t="s">
        <v>192</v>
      </c>
      <c r="U76" s="47" t="s">
        <v>191</v>
      </c>
      <c r="V76" s="48">
        <v>5.8</v>
      </c>
      <c r="W76" s="46" t="s">
        <v>193</v>
      </c>
      <c r="X76" s="47" t="s">
        <v>2436</v>
      </c>
      <c r="Y76" s="48">
        <v>5.6</v>
      </c>
      <c r="Z76" s="49" t="s">
        <v>194</v>
      </c>
      <c r="AA76" s="50" t="s">
        <v>195</v>
      </c>
      <c r="AB76" s="51">
        <v>4.4000000000000004</v>
      </c>
    </row>
    <row r="77" spans="1:28" ht="13.5" customHeight="1">
      <c r="A77" s="27"/>
      <c r="B77" s="44"/>
      <c r="C77" s="44"/>
      <c r="D77" s="6"/>
      <c r="E77" s="46"/>
      <c r="F77" s="47"/>
      <c r="G77" s="48"/>
      <c r="H77" s="46"/>
      <c r="I77" s="47"/>
      <c r="J77" s="48"/>
      <c r="K77" s="46"/>
      <c r="L77" s="47"/>
      <c r="M77" s="48"/>
      <c r="N77" s="46"/>
      <c r="O77" s="47"/>
      <c r="P77" s="48"/>
      <c r="Q77" s="46"/>
      <c r="R77" s="47"/>
      <c r="S77" s="48"/>
      <c r="T77" s="46"/>
      <c r="U77" s="47"/>
      <c r="V77" s="48"/>
      <c r="W77" s="46"/>
      <c r="X77" s="47"/>
      <c r="Y77" s="48"/>
      <c r="Z77" s="49" t="s">
        <v>196</v>
      </c>
      <c r="AA77" s="50" t="s">
        <v>197</v>
      </c>
      <c r="AB77" s="51">
        <v>1.9</v>
      </c>
    </row>
    <row r="78" spans="1:28" ht="13.5" customHeight="1">
      <c r="A78" s="27"/>
      <c r="B78" s="44"/>
      <c r="C78" s="44"/>
      <c r="D78" s="6"/>
      <c r="E78" s="46" t="s">
        <v>199</v>
      </c>
      <c r="F78" s="47" t="s">
        <v>198</v>
      </c>
      <c r="G78" s="48">
        <v>0.5</v>
      </c>
      <c r="H78" s="46" t="s">
        <v>199</v>
      </c>
      <c r="I78" s="47" t="s">
        <v>198</v>
      </c>
      <c r="J78" s="48">
        <v>0.5</v>
      </c>
      <c r="K78" s="46" t="s">
        <v>199</v>
      </c>
      <c r="L78" s="47" t="s">
        <v>198</v>
      </c>
      <c r="M78" s="48">
        <v>0.6</v>
      </c>
      <c r="N78" s="46" t="s">
        <v>199</v>
      </c>
      <c r="O78" s="47" t="s">
        <v>198</v>
      </c>
      <c r="P78" s="48">
        <v>0.6</v>
      </c>
      <c r="Q78" s="46" t="s">
        <v>199</v>
      </c>
      <c r="R78" s="47" t="s">
        <v>198</v>
      </c>
      <c r="S78" s="48">
        <v>0.9</v>
      </c>
      <c r="T78" s="46" t="s">
        <v>199</v>
      </c>
      <c r="U78" s="47" t="s">
        <v>198</v>
      </c>
      <c r="V78" s="48">
        <v>0.9</v>
      </c>
      <c r="W78" s="46" t="s">
        <v>200</v>
      </c>
      <c r="X78" s="47" t="s">
        <v>2437</v>
      </c>
      <c r="Y78" s="48">
        <v>1.1000000000000001</v>
      </c>
      <c r="Z78" s="49" t="s">
        <v>201</v>
      </c>
      <c r="AA78" s="50" t="s">
        <v>198</v>
      </c>
      <c r="AB78" s="51">
        <v>1.9</v>
      </c>
    </row>
    <row r="79" spans="1:28" ht="13.5" customHeight="1">
      <c r="A79" s="27"/>
      <c r="B79" s="44"/>
      <c r="C79" s="44"/>
      <c r="D79" s="6"/>
      <c r="E79" s="46" t="s">
        <v>203</v>
      </c>
      <c r="F79" s="47" t="s">
        <v>202</v>
      </c>
      <c r="G79" s="48">
        <v>0.7</v>
      </c>
      <c r="H79" s="46" t="s">
        <v>203</v>
      </c>
      <c r="I79" s="47" t="s">
        <v>202</v>
      </c>
      <c r="J79" s="48">
        <v>0.8</v>
      </c>
      <c r="K79" s="46" t="s">
        <v>203</v>
      </c>
      <c r="L79" s="47" t="s">
        <v>202</v>
      </c>
      <c r="M79" s="48">
        <v>0.6</v>
      </c>
      <c r="N79" s="46" t="s">
        <v>203</v>
      </c>
      <c r="O79" s="47" t="s">
        <v>202</v>
      </c>
      <c r="P79" s="48">
        <v>0.7</v>
      </c>
      <c r="Q79" s="46" t="s">
        <v>203</v>
      </c>
      <c r="R79" s="47" t="s">
        <v>202</v>
      </c>
      <c r="S79" s="48">
        <v>0.5</v>
      </c>
      <c r="T79" s="46" t="s">
        <v>203</v>
      </c>
      <c r="U79" s="47" t="s">
        <v>202</v>
      </c>
      <c r="V79" s="48">
        <v>0.5</v>
      </c>
      <c r="W79" s="46" t="s">
        <v>204</v>
      </c>
      <c r="X79" s="47" t="s">
        <v>2438</v>
      </c>
      <c r="Y79" s="48">
        <v>0.3</v>
      </c>
      <c r="Z79" s="49" t="s">
        <v>205</v>
      </c>
      <c r="AA79" s="50" t="s">
        <v>202</v>
      </c>
      <c r="AB79" s="51">
        <v>0.3</v>
      </c>
    </row>
    <row r="80" spans="1:28" ht="13.5" customHeight="1">
      <c r="A80" s="27"/>
      <c r="B80" s="44"/>
      <c r="C80" s="44"/>
      <c r="D80" s="6"/>
      <c r="E80" s="46"/>
      <c r="F80" s="47"/>
      <c r="G80" s="48"/>
      <c r="H80" s="46"/>
      <c r="I80" s="47"/>
      <c r="J80" s="48"/>
      <c r="K80" s="46"/>
      <c r="L80" s="47"/>
      <c r="M80" s="48"/>
      <c r="N80" s="46"/>
      <c r="O80" s="47"/>
      <c r="P80" s="48"/>
      <c r="Q80" s="46"/>
      <c r="R80" s="47"/>
      <c r="S80" s="48"/>
      <c r="T80" s="46"/>
      <c r="U80" s="47"/>
      <c r="V80" s="48"/>
      <c r="W80" s="46"/>
      <c r="X80" s="47"/>
      <c r="Y80" s="48"/>
      <c r="Z80" s="49"/>
      <c r="AA80" s="50"/>
      <c r="AB80" s="51"/>
    </row>
    <row r="81" spans="1:28" ht="13.5" customHeight="1">
      <c r="A81" s="27"/>
      <c r="B81" s="44"/>
      <c r="C81" s="44"/>
      <c r="D81" s="6"/>
      <c r="E81" s="46" t="s">
        <v>207</v>
      </c>
      <c r="F81" s="47" t="s">
        <v>206</v>
      </c>
      <c r="G81" s="48">
        <v>2</v>
      </c>
      <c r="H81" s="46" t="s">
        <v>207</v>
      </c>
      <c r="I81" s="47" t="s">
        <v>206</v>
      </c>
      <c r="J81" s="48">
        <v>2.4</v>
      </c>
      <c r="K81" s="46" t="s">
        <v>207</v>
      </c>
      <c r="L81" s="47" t="s">
        <v>206</v>
      </c>
      <c r="M81" s="48">
        <v>2.1</v>
      </c>
      <c r="N81" s="46" t="s">
        <v>207</v>
      </c>
      <c r="O81" s="47" t="s">
        <v>206</v>
      </c>
      <c r="P81" s="48">
        <v>2.2000000000000002</v>
      </c>
      <c r="Q81" s="46" t="s">
        <v>207</v>
      </c>
      <c r="R81" s="47" t="s">
        <v>206</v>
      </c>
      <c r="S81" s="48">
        <v>2.2999999999999998</v>
      </c>
      <c r="T81" s="46" t="s">
        <v>207</v>
      </c>
      <c r="U81" s="47" t="s">
        <v>206</v>
      </c>
      <c r="V81" s="48">
        <v>2.2000000000000002</v>
      </c>
      <c r="W81" s="46" t="s">
        <v>208</v>
      </c>
      <c r="X81" s="47" t="s">
        <v>2439</v>
      </c>
      <c r="Y81" s="48">
        <v>2.1</v>
      </c>
      <c r="Z81" s="49" t="s">
        <v>209</v>
      </c>
      <c r="AA81" s="50" t="s">
        <v>210</v>
      </c>
      <c r="AB81" s="51">
        <v>1.7</v>
      </c>
    </row>
    <row r="82" spans="1:28" ht="13.5" customHeight="1">
      <c r="A82" s="27"/>
      <c r="B82" s="44"/>
      <c r="C82" s="44"/>
      <c r="D82" s="6"/>
      <c r="E82" s="46"/>
      <c r="F82" s="47"/>
      <c r="G82" s="48"/>
      <c r="H82" s="46"/>
      <c r="I82" s="47"/>
      <c r="J82" s="48"/>
      <c r="K82" s="46"/>
      <c r="L82" s="47"/>
      <c r="M82" s="48"/>
      <c r="N82" s="46"/>
      <c r="O82" s="47"/>
      <c r="P82" s="48"/>
      <c r="Q82" s="46"/>
      <c r="R82" s="47"/>
      <c r="S82" s="48"/>
      <c r="T82" s="46"/>
      <c r="U82" s="47"/>
      <c r="V82" s="48"/>
      <c r="W82" s="46"/>
      <c r="X82" s="47"/>
      <c r="Y82" s="48"/>
      <c r="Z82" s="49" t="s">
        <v>211</v>
      </c>
      <c r="AA82" s="50" t="s">
        <v>212</v>
      </c>
      <c r="AB82" s="51">
        <v>0.4</v>
      </c>
    </row>
    <row r="83" spans="1:28" ht="13.5" customHeight="1">
      <c r="A83" s="27"/>
      <c r="B83" s="44"/>
      <c r="C83" s="44"/>
      <c r="D83" s="6"/>
      <c r="E83" s="46" t="s">
        <v>214</v>
      </c>
      <c r="F83" s="75" t="s">
        <v>213</v>
      </c>
      <c r="G83" s="48">
        <v>3</v>
      </c>
      <c r="H83" s="46" t="s">
        <v>214</v>
      </c>
      <c r="I83" s="75" t="s">
        <v>213</v>
      </c>
      <c r="J83" s="48">
        <v>2.7</v>
      </c>
      <c r="K83" s="46" t="s">
        <v>214</v>
      </c>
      <c r="L83" s="75" t="s">
        <v>213</v>
      </c>
      <c r="M83" s="48">
        <v>2.6</v>
      </c>
      <c r="N83" s="46" t="s">
        <v>214</v>
      </c>
      <c r="O83" s="75" t="s">
        <v>213</v>
      </c>
      <c r="P83" s="48">
        <v>2.4</v>
      </c>
      <c r="Q83" s="76" t="s">
        <v>214</v>
      </c>
      <c r="R83" s="75" t="s">
        <v>213</v>
      </c>
      <c r="S83" s="77">
        <v>2.2000000000000002</v>
      </c>
      <c r="T83" s="76" t="s">
        <v>214</v>
      </c>
      <c r="U83" s="75" t="s">
        <v>213</v>
      </c>
      <c r="V83" s="77">
        <v>2.2000000000000002</v>
      </c>
      <c r="W83" s="76" t="s">
        <v>215</v>
      </c>
      <c r="X83" s="75" t="s">
        <v>2440</v>
      </c>
      <c r="Y83" s="77">
        <v>2.1</v>
      </c>
      <c r="Z83" s="78" t="s">
        <v>216</v>
      </c>
      <c r="AA83" s="79" t="s">
        <v>213</v>
      </c>
      <c r="AB83" s="80">
        <v>1.8</v>
      </c>
    </row>
    <row r="84" spans="1:28" ht="13.5" customHeight="1">
      <c r="A84" s="27"/>
      <c r="B84" s="44"/>
      <c r="C84" s="28" t="s">
        <v>217</v>
      </c>
      <c r="D84" s="30" t="s">
        <v>218</v>
      </c>
      <c r="E84" s="37" t="s">
        <v>219</v>
      </c>
      <c r="F84" s="71"/>
      <c r="G84" s="39">
        <f>SUM(G85:G89)</f>
        <v>1.4</v>
      </c>
      <c r="H84" s="37" t="s">
        <v>219</v>
      </c>
      <c r="I84" s="71"/>
      <c r="J84" s="39">
        <f>SUM(J85:J89)</f>
        <v>1.2999999999999998</v>
      </c>
      <c r="K84" s="37" t="s">
        <v>219</v>
      </c>
      <c r="L84" s="71"/>
      <c r="M84" s="39">
        <f>SUM(M85:M89)</f>
        <v>1.1000000000000001</v>
      </c>
      <c r="N84" s="37" t="s">
        <v>219</v>
      </c>
      <c r="O84" s="71"/>
      <c r="P84" s="39">
        <f>SUM(P85:P89)</f>
        <v>1.2999999999999998</v>
      </c>
      <c r="Q84" s="37" t="s">
        <v>219</v>
      </c>
      <c r="R84" s="71"/>
      <c r="S84" s="39">
        <f>SUM(S85:S89)</f>
        <v>1.1000000000000001</v>
      </c>
      <c r="T84" s="37" t="s">
        <v>219</v>
      </c>
      <c r="U84" s="71"/>
      <c r="V84" s="39">
        <f>SUM(V85:V89)</f>
        <v>1.2</v>
      </c>
      <c r="W84" s="72"/>
      <c r="X84" s="71"/>
      <c r="Y84" s="39">
        <f>SUM(Y85:Y89)</f>
        <v>1.1000000000000001</v>
      </c>
      <c r="Z84" s="73"/>
      <c r="AA84" s="74"/>
      <c r="AB84" s="39">
        <f>SUM(AB85:AB89)</f>
        <v>1.4</v>
      </c>
    </row>
    <row r="85" spans="1:28" ht="13.5" customHeight="1">
      <c r="A85" s="27"/>
      <c r="B85" s="44"/>
      <c r="C85" s="44"/>
      <c r="D85" s="45"/>
      <c r="E85" s="46" t="s">
        <v>221</v>
      </c>
      <c r="F85" s="47" t="s">
        <v>220</v>
      </c>
      <c r="G85" s="48">
        <v>0.6</v>
      </c>
      <c r="H85" s="46" t="s">
        <v>221</v>
      </c>
      <c r="I85" s="47" t="s">
        <v>220</v>
      </c>
      <c r="J85" s="48">
        <v>0.6</v>
      </c>
      <c r="K85" s="46" t="s">
        <v>221</v>
      </c>
      <c r="L85" s="47" t="s">
        <v>220</v>
      </c>
      <c r="M85" s="48">
        <v>0.5</v>
      </c>
      <c r="N85" s="46" t="s">
        <v>221</v>
      </c>
      <c r="O85" s="47" t="s">
        <v>220</v>
      </c>
      <c r="P85" s="48">
        <v>0.6</v>
      </c>
      <c r="Q85" s="46" t="s">
        <v>221</v>
      </c>
      <c r="R85" s="47" t="s">
        <v>220</v>
      </c>
      <c r="S85" s="48">
        <v>0.5</v>
      </c>
      <c r="T85" s="46" t="s">
        <v>221</v>
      </c>
      <c r="U85" s="47" t="s">
        <v>220</v>
      </c>
      <c r="V85" s="48">
        <v>0.6</v>
      </c>
      <c r="W85" s="46" t="s">
        <v>222</v>
      </c>
      <c r="X85" s="47" t="s">
        <v>2441</v>
      </c>
      <c r="Y85" s="48">
        <v>0.7</v>
      </c>
      <c r="Z85" s="49" t="s">
        <v>223</v>
      </c>
      <c r="AA85" s="50" t="s">
        <v>220</v>
      </c>
      <c r="AB85" s="51">
        <v>1</v>
      </c>
    </row>
    <row r="86" spans="1:28" ht="13.5" customHeight="1">
      <c r="A86" s="27"/>
      <c r="B86" s="44"/>
      <c r="C86" s="36"/>
      <c r="D86" s="6"/>
      <c r="E86" s="46" t="s">
        <v>225</v>
      </c>
      <c r="F86" s="47" t="s">
        <v>224</v>
      </c>
      <c r="G86" s="48">
        <v>0.8</v>
      </c>
      <c r="H86" s="46" t="s">
        <v>225</v>
      </c>
      <c r="I86" s="47" t="s">
        <v>224</v>
      </c>
      <c r="J86" s="48">
        <v>0.7</v>
      </c>
      <c r="K86" s="46" t="s">
        <v>225</v>
      </c>
      <c r="L86" s="47" t="s">
        <v>224</v>
      </c>
      <c r="M86" s="48">
        <v>0.6</v>
      </c>
      <c r="N86" s="46" t="s">
        <v>225</v>
      </c>
      <c r="O86" s="47" t="s">
        <v>224</v>
      </c>
      <c r="P86" s="48">
        <v>0.7</v>
      </c>
      <c r="Q86" s="46" t="s">
        <v>225</v>
      </c>
      <c r="R86" s="47" t="s">
        <v>224</v>
      </c>
      <c r="S86" s="48">
        <v>0.6</v>
      </c>
      <c r="T86" s="46" t="s">
        <v>225</v>
      </c>
      <c r="U86" s="47" t="s">
        <v>224</v>
      </c>
      <c r="V86" s="48">
        <v>0.6</v>
      </c>
      <c r="W86" s="46" t="s">
        <v>226</v>
      </c>
      <c r="X86" s="47" t="s">
        <v>2442</v>
      </c>
      <c r="Y86" s="48">
        <v>0.4</v>
      </c>
      <c r="Z86" s="49" t="s">
        <v>227</v>
      </c>
      <c r="AA86" s="50" t="s">
        <v>224</v>
      </c>
      <c r="AB86" s="51">
        <v>0.4</v>
      </c>
    </row>
    <row r="87" spans="1:28" ht="13.5" customHeight="1">
      <c r="A87" s="27"/>
      <c r="B87" s="44"/>
      <c r="C87" s="36"/>
      <c r="D87" s="6"/>
      <c r="E87" s="46"/>
      <c r="F87" s="47"/>
      <c r="G87" s="48"/>
      <c r="H87" s="46"/>
      <c r="I87" s="47"/>
      <c r="J87" s="48"/>
      <c r="K87" s="46"/>
      <c r="L87" s="47"/>
      <c r="M87" s="48"/>
      <c r="N87" s="46"/>
      <c r="O87" s="47"/>
      <c r="P87" s="48"/>
      <c r="Q87" s="46"/>
      <c r="R87" s="47"/>
      <c r="S87" s="48"/>
      <c r="T87" s="46"/>
      <c r="U87" s="47"/>
      <c r="V87" s="48"/>
      <c r="W87" s="46"/>
      <c r="X87" s="47"/>
      <c r="Y87" s="48"/>
      <c r="Z87" s="49"/>
      <c r="AA87" s="50"/>
      <c r="AB87" s="51"/>
    </row>
    <row r="88" spans="1:28" ht="13.5" customHeight="1">
      <c r="A88" s="27"/>
      <c r="B88" s="44"/>
      <c r="C88" s="36"/>
      <c r="D88" s="6"/>
      <c r="E88" s="46"/>
      <c r="F88" s="47"/>
      <c r="G88" s="48"/>
      <c r="H88" s="46"/>
      <c r="I88" s="47"/>
      <c r="J88" s="48"/>
      <c r="K88" s="46"/>
      <c r="L88" s="47"/>
      <c r="M88" s="48"/>
      <c r="N88" s="46"/>
      <c r="O88" s="47"/>
      <c r="P88" s="48"/>
      <c r="Q88" s="46"/>
      <c r="R88" s="47"/>
      <c r="S88" s="48"/>
      <c r="T88" s="46"/>
      <c r="U88" s="47"/>
      <c r="V88" s="48"/>
      <c r="W88" s="46"/>
      <c r="X88" s="47"/>
      <c r="Y88" s="48"/>
      <c r="Z88" s="49"/>
      <c r="AA88" s="50"/>
      <c r="AB88" s="51"/>
    </row>
    <row r="89" spans="1:28" ht="13.5" customHeight="1">
      <c r="A89" s="27"/>
      <c r="B89" s="44"/>
      <c r="C89" s="82"/>
      <c r="D89" s="83"/>
      <c r="E89" s="46"/>
      <c r="F89" s="75"/>
      <c r="G89" s="48"/>
      <c r="H89" s="46"/>
      <c r="I89" s="75"/>
      <c r="J89" s="48"/>
      <c r="K89" s="46"/>
      <c r="L89" s="75"/>
      <c r="M89" s="48"/>
      <c r="N89" s="46"/>
      <c r="O89" s="75"/>
      <c r="P89" s="48"/>
      <c r="Q89" s="76"/>
      <c r="R89" s="75"/>
      <c r="S89" s="77"/>
      <c r="T89" s="76"/>
      <c r="U89" s="75"/>
      <c r="V89" s="77"/>
      <c r="W89" s="76"/>
      <c r="X89" s="75"/>
      <c r="Y89" s="77"/>
      <c r="Z89" s="78"/>
      <c r="AA89" s="79"/>
      <c r="AB89" s="80"/>
    </row>
    <row r="90" spans="1:28" ht="13.5" customHeight="1">
      <c r="A90" s="27"/>
      <c r="B90" s="44"/>
      <c r="C90" s="36" t="s">
        <v>228</v>
      </c>
      <c r="D90" s="6" t="s">
        <v>229</v>
      </c>
      <c r="E90" s="37" t="s">
        <v>230</v>
      </c>
      <c r="F90" s="71"/>
      <c r="G90" s="39">
        <f>SUM(G91:G115)</f>
        <v>15.600000000000001</v>
      </c>
      <c r="H90" s="37" t="s">
        <v>230</v>
      </c>
      <c r="I90" s="71"/>
      <c r="J90" s="39">
        <f>SUM(J91:J115)</f>
        <v>16.200000000000003</v>
      </c>
      <c r="K90" s="37" t="s">
        <v>230</v>
      </c>
      <c r="L90" s="71"/>
      <c r="M90" s="39">
        <f>SUM(M91:M115)</f>
        <v>16.8</v>
      </c>
      <c r="N90" s="37" t="s">
        <v>230</v>
      </c>
      <c r="O90" s="71"/>
      <c r="P90" s="39">
        <f>SUM(P91:P115)</f>
        <v>17</v>
      </c>
      <c r="Q90" s="37" t="s">
        <v>230</v>
      </c>
      <c r="R90" s="71"/>
      <c r="S90" s="39">
        <f>SUM(S91:S109)</f>
        <v>16.3</v>
      </c>
      <c r="T90" s="37" t="s">
        <v>230</v>
      </c>
      <c r="U90" s="71"/>
      <c r="V90" s="39">
        <f>SUM(V91:V115)</f>
        <v>16.100000000000001</v>
      </c>
      <c r="W90" s="72"/>
      <c r="X90" s="71"/>
      <c r="Y90" s="39">
        <f>SUM(Y91:Y109)</f>
        <v>17.000000000000004</v>
      </c>
      <c r="Z90" s="73"/>
      <c r="AA90" s="74"/>
      <c r="AB90" s="39">
        <f>SUM(AB91:AB109)</f>
        <v>16.8</v>
      </c>
    </row>
    <row r="91" spans="1:28" ht="13.5" customHeight="1">
      <c r="A91" s="27"/>
      <c r="B91" s="44"/>
      <c r="C91" s="44"/>
      <c r="D91" s="45"/>
      <c r="E91" s="46" t="s">
        <v>232</v>
      </c>
      <c r="F91" s="47" t="s">
        <v>231</v>
      </c>
      <c r="G91" s="48">
        <v>2.2999999999999998</v>
      </c>
      <c r="H91" s="46" t="s">
        <v>232</v>
      </c>
      <c r="I91" s="47" t="s">
        <v>231</v>
      </c>
      <c r="J91" s="48">
        <v>2.6</v>
      </c>
      <c r="K91" s="46" t="s">
        <v>232</v>
      </c>
      <c r="L91" s="47" t="s">
        <v>231</v>
      </c>
      <c r="M91" s="48">
        <v>3</v>
      </c>
      <c r="N91" s="46" t="s">
        <v>232</v>
      </c>
      <c r="O91" s="47" t="s">
        <v>231</v>
      </c>
      <c r="P91" s="48">
        <v>3.1</v>
      </c>
      <c r="Q91" s="46" t="s">
        <v>232</v>
      </c>
      <c r="R91" s="47" t="s">
        <v>231</v>
      </c>
      <c r="S91" s="48">
        <v>3</v>
      </c>
      <c r="T91" s="46" t="s">
        <v>232</v>
      </c>
      <c r="U91" s="47" t="s">
        <v>231</v>
      </c>
      <c r="V91" s="48">
        <v>3.1</v>
      </c>
      <c r="W91" s="46" t="s">
        <v>233</v>
      </c>
      <c r="X91" s="47" t="s">
        <v>2443</v>
      </c>
      <c r="Y91" s="48">
        <v>3.1</v>
      </c>
      <c r="Z91" s="49" t="s">
        <v>234</v>
      </c>
      <c r="AA91" s="50" t="s">
        <v>231</v>
      </c>
      <c r="AB91" s="51">
        <v>2.9</v>
      </c>
    </row>
    <row r="92" spans="1:28" ht="13.5" customHeight="1">
      <c r="A92" s="27"/>
      <c r="B92" s="44"/>
      <c r="C92" s="44"/>
      <c r="D92" s="6"/>
      <c r="E92" s="46"/>
      <c r="F92" s="47"/>
      <c r="G92" s="48"/>
      <c r="H92" s="46"/>
      <c r="I92" s="47"/>
      <c r="J92" s="48"/>
      <c r="K92" s="46"/>
      <c r="L92" s="47"/>
      <c r="M92" s="48"/>
      <c r="N92" s="46"/>
      <c r="O92" s="47"/>
      <c r="P92" s="48"/>
      <c r="Q92" s="46"/>
      <c r="R92" s="47"/>
      <c r="S92" s="48"/>
      <c r="T92" s="46"/>
      <c r="U92" s="47"/>
      <c r="V92" s="48"/>
      <c r="W92" s="46"/>
      <c r="X92" s="47"/>
      <c r="Y92" s="48"/>
      <c r="Z92" s="49"/>
      <c r="AA92" s="50"/>
      <c r="AB92" s="51"/>
    </row>
    <row r="93" spans="1:28" ht="13.5" customHeight="1">
      <c r="A93" s="27"/>
      <c r="B93" s="44"/>
      <c r="C93" s="44"/>
      <c r="D93" s="6"/>
      <c r="E93" s="46"/>
      <c r="F93" s="47"/>
      <c r="G93" s="48"/>
      <c r="H93" s="46"/>
      <c r="I93" s="47"/>
      <c r="J93" s="48"/>
      <c r="K93" s="46"/>
      <c r="L93" s="47"/>
      <c r="M93" s="48"/>
      <c r="N93" s="46"/>
      <c r="O93" s="47"/>
      <c r="P93" s="48"/>
      <c r="Q93" s="46"/>
      <c r="R93" s="47"/>
      <c r="S93" s="48"/>
      <c r="T93" s="46"/>
      <c r="U93" s="47"/>
      <c r="V93" s="48"/>
      <c r="W93" s="46"/>
      <c r="X93" s="47"/>
      <c r="Y93" s="48"/>
      <c r="Z93" s="49"/>
      <c r="AA93" s="50"/>
      <c r="AB93" s="51"/>
    </row>
    <row r="94" spans="1:28" ht="13.5" customHeight="1">
      <c r="A94" s="27"/>
      <c r="B94" s="44"/>
      <c r="C94" s="44"/>
      <c r="D94" s="6"/>
      <c r="E94" s="46" t="s">
        <v>236</v>
      </c>
      <c r="F94" s="47" t="s">
        <v>235</v>
      </c>
      <c r="G94" s="48">
        <v>0.7</v>
      </c>
      <c r="H94" s="46" t="s">
        <v>236</v>
      </c>
      <c r="I94" s="47" t="s">
        <v>235</v>
      </c>
      <c r="J94" s="48">
        <v>0.6</v>
      </c>
      <c r="K94" s="46" t="s">
        <v>236</v>
      </c>
      <c r="L94" s="47" t="s">
        <v>235</v>
      </c>
      <c r="M94" s="48">
        <v>0.8</v>
      </c>
      <c r="N94" s="46" t="s">
        <v>236</v>
      </c>
      <c r="O94" s="47" t="s">
        <v>235</v>
      </c>
      <c r="P94" s="48">
        <v>0.9</v>
      </c>
      <c r="Q94" s="46" t="s">
        <v>236</v>
      </c>
      <c r="R94" s="47" t="s">
        <v>235</v>
      </c>
      <c r="S94" s="48">
        <v>1</v>
      </c>
      <c r="T94" s="46" t="s">
        <v>236</v>
      </c>
      <c r="U94" s="47" t="s">
        <v>235</v>
      </c>
      <c r="V94" s="48">
        <v>1</v>
      </c>
      <c r="W94" s="46" t="s">
        <v>237</v>
      </c>
      <c r="X94" s="47" t="s">
        <v>2444</v>
      </c>
      <c r="Y94" s="48">
        <v>1.8</v>
      </c>
      <c r="Z94" s="49" t="s">
        <v>238</v>
      </c>
      <c r="AA94" s="50" t="s">
        <v>235</v>
      </c>
      <c r="AB94" s="51">
        <v>1.9</v>
      </c>
    </row>
    <row r="95" spans="1:28" ht="13.5" customHeight="1">
      <c r="A95" s="27"/>
      <c r="B95" s="44"/>
      <c r="C95" s="44"/>
      <c r="D95" s="6"/>
      <c r="E95" s="46" t="s">
        <v>240</v>
      </c>
      <c r="F95" s="47" t="s">
        <v>239</v>
      </c>
      <c r="G95" s="48">
        <v>1</v>
      </c>
      <c r="H95" s="46" t="s">
        <v>240</v>
      </c>
      <c r="I95" s="47" t="s">
        <v>239</v>
      </c>
      <c r="J95" s="48">
        <v>0.9</v>
      </c>
      <c r="K95" s="46" t="s">
        <v>240</v>
      </c>
      <c r="L95" s="47" t="s">
        <v>239</v>
      </c>
      <c r="M95" s="48">
        <v>1.1000000000000001</v>
      </c>
      <c r="N95" s="46" t="s">
        <v>240</v>
      </c>
      <c r="O95" s="47" t="s">
        <v>239</v>
      </c>
      <c r="P95" s="48">
        <v>1.1000000000000001</v>
      </c>
      <c r="Q95" s="46" t="s">
        <v>240</v>
      </c>
      <c r="R95" s="47" t="s">
        <v>239</v>
      </c>
      <c r="S95" s="48">
        <v>1</v>
      </c>
      <c r="T95" s="46" t="s">
        <v>240</v>
      </c>
      <c r="U95" s="47" t="s">
        <v>239</v>
      </c>
      <c r="V95" s="48">
        <v>0.9</v>
      </c>
      <c r="W95" s="46" t="s">
        <v>241</v>
      </c>
      <c r="X95" s="47" t="s">
        <v>2445</v>
      </c>
      <c r="Y95" s="48">
        <v>0.8</v>
      </c>
      <c r="Z95" s="49" t="s">
        <v>242</v>
      </c>
      <c r="AA95" s="50" t="s">
        <v>239</v>
      </c>
      <c r="AB95" s="51">
        <v>0.6</v>
      </c>
    </row>
    <row r="96" spans="1:28" ht="13.5" customHeight="1">
      <c r="A96" s="27"/>
      <c r="B96" s="44"/>
      <c r="C96" s="44"/>
      <c r="D96" s="6"/>
      <c r="E96" s="46" t="s">
        <v>244</v>
      </c>
      <c r="F96" s="47" t="s">
        <v>243</v>
      </c>
      <c r="G96" s="48">
        <v>1.4</v>
      </c>
      <c r="H96" s="46" t="s">
        <v>244</v>
      </c>
      <c r="I96" s="47" t="s">
        <v>243</v>
      </c>
      <c r="J96" s="48">
        <v>1.4</v>
      </c>
      <c r="K96" s="46" t="s">
        <v>244</v>
      </c>
      <c r="L96" s="47" t="s">
        <v>243</v>
      </c>
      <c r="M96" s="48">
        <v>1.2</v>
      </c>
      <c r="N96" s="46" t="s">
        <v>244</v>
      </c>
      <c r="O96" s="47" t="s">
        <v>243</v>
      </c>
      <c r="P96" s="48">
        <v>1.5</v>
      </c>
      <c r="Q96" s="46" t="s">
        <v>244</v>
      </c>
      <c r="R96" s="47" t="s">
        <v>243</v>
      </c>
      <c r="S96" s="48">
        <v>1.7</v>
      </c>
      <c r="T96" s="46" t="s">
        <v>244</v>
      </c>
      <c r="U96" s="47" t="s">
        <v>243</v>
      </c>
      <c r="V96" s="48">
        <v>1.7</v>
      </c>
      <c r="W96" s="46" t="s">
        <v>245</v>
      </c>
      <c r="X96" s="47" t="s">
        <v>2446</v>
      </c>
      <c r="Y96" s="48">
        <v>1.5</v>
      </c>
      <c r="Z96" s="49" t="s">
        <v>246</v>
      </c>
      <c r="AA96" s="50" t="s">
        <v>243</v>
      </c>
      <c r="AB96" s="51">
        <v>1.8</v>
      </c>
    </row>
    <row r="97" spans="1:28" ht="13.5" customHeight="1">
      <c r="A97" s="27"/>
      <c r="B97" s="44"/>
      <c r="C97" s="44"/>
      <c r="D97" s="6"/>
      <c r="E97" s="46" t="s">
        <v>248</v>
      </c>
      <c r="F97" s="47" t="s">
        <v>247</v>
      </c>
      <c r="G97" s="48">
        <v>0.5</v>
      </c>
      <c r="H97" s="46" t="s">
        <v>248</v>
      </c>
      <c r="I97" s="47" t="s">
        <v>247</v>
      </c>
      <c r="J97" s="48">
        <v>0.5</v>
      </c>
      <c r="K97" s="46" t="s">
        <v>248</v>
      </c>
      <c r="L97" s="47" t="s">
        <v>247</v>
      </c>
      <c r="M97" s="48">
        <v>0.6</v>
      </c>
      <c r="N97" s="46" t="s">
        <v>248</v>
      </c>
      <c r="O97" s="47" t="s">
        <v>247</v>
      </c>
      <c r="P97" s="48">
        <v>0.7</v>
      </c>
      <c r="Q97" s="46" t="s">
        <v>248</v>
      </c>
      <c r="R97" s="47" t="s">
        <v>247</v>
      </c>
      <c r="S97" s="48">
        <v>0.8</v>
      </c>
      <c r="T97" s="46" t="s">
        <v>248</v>
      </c>
      <c r="U97" s="47" t="s">
        <v>247</v>
      </c>
      <c r="V97" s="48">
        <v>0.7</v>
      </c>
      <c r="W97" s="46" t="s">
        <v>249</v>
      </c>
      <c r="X97" s="47" t="s">
        <v>2447</v>
      </c>
      <c r="Y97" s="48">
        <v>0.3</v>
      </c>
      <c r="Z97" s="49" t="s">
        <v>250</v>
      </c>
      <c r="AA97" s="50" t="s">
        <v>251</v>
      </c>
      <c r="AB97" s="51">
        <v>0.3</v>
      </c>
    </row>
    <row r="98" spans="1:28" ht="13.5" customHeight="1">
      <c r="A98" s="27"/>
      <c r="B98" s="44"/>
      <c r="C98" s="36"/>
      <c r="D98" s="6"/>
      <c r="E98" s="46" t="s">
        <v>252</v>
      </c>
      <c r="F98" s="47" t="s">
        <v>251</v>
      </c>
      <c r="G98" s="48">
        <v>0.2</v>
      </c>
      <c r="H98" s="46" t="s">
        <v>252</v>
      </c>
      <c r="I98" s="47" t="s">
        <v>251</v>
      </c>
      <c r="J98" s="48">
        <v>0.2</v>
      </c>
      <c r="K98" s="46" t="s">
        <v>252</v>
      </c>
      <c r="L98" s="47" t="s">
        <v>251</v>
      </c>
      <c r="M98" s="48">
        <v>0.2</v>
      </c>
      <c r="N98" s="46" t="s">
        <v>252</v>
      </c>
      <c r="O98" s="47" t="s">
        <v>251</v>
      </c>
      <c r="P98" s="48">
        <v>0.2</v>
      </c>
      <c r="Q98" s="46" t="s">
        <v>252</v>
      </c>
      <c r="R98" s="47" t="s">
        <v>251</v>
      </c>
      <c r="S98" s="48">
        <v>0.2</v>
      </c>
      <c r="T98" s="46" t="s">
        <v>252</v>
      </c>
      <c r="U98" s="47" t="s">
        <v>251</v>
      </c>
      <c r="V98" s="48">
        <v>0.3</v>
      </c>
      <c r="W98" s="46" t="s">
        <v>253</v>
      </c>
      <c r="X98" s="47" t="s">
        <v>2448</v>
      </c>
      <c r="Y98" s="48">
        <v>0.9</v>
      </c>
      <c r="Z98" s="49" t="s">
        <v>254</v>
      </c>
      <c r="AA98" s="50" t="s">
        <v>247</v>
      </c>
      <c r="AB98" s="51">
        <v>1</v>
      </c>
    </row>
    <row r="99" spans="1:28" ht="13.5" customHeight="1">
      <c r="A99" s="27"/>
      <c r="B99" s="44"/>
      <c r="C99" s="36"/>
      <c r="D99" s="6"/>
      <c r="E99" s="46" t="s">
        <v>256</v>
      </c>
      <c r="F99" s="47" t="s">
        <v>255</v>
      </c>
      <c r="G99" s="48">
        <v>1.8</v>
      </c>
      <c r="H99" s="46" t="s">
        <v>256</v>
      </c>
      <c r="I99" s="47" t="s">
        <v>255</v>
      </c>
      <c r="J99" s="48">
        <v>1.9</v>
      </c>
      <c r="K99" s="46" t="s">
        <v>256</v>
      </c>
      <c r="L99" s="47" t="s">
        <v>255</v>
      </c>
      <c r="M99" s="48">
        <v>1.9</v>
      </c>
      <c r="N99" s="46" t="s">
        <v>256</v>
      </c>
      <c r="O99" s="47" t="s">
        <v>255</v>
      </c>
      <c r="P99" s="48">
        <v>1.9</v>
      </c>
      <c r="Q99" s="46" t="s">
        <v>256</v>
      </c>
      <c r="R99" s="47" t="s">
        <v>255</v>
      </c>
      <c r="S99" s="48">
        <v>2</v>
      </c>
      <c r="T99" s="46" t="s">
        <v>256</v>
      </c>
      <c r="U99" s="47" t="s">
        <v>255</v>
      </c>
      <c r="V99" s="48">
        <v>2.1</v>
      </c>
      <c r="W99" s="46" t="s">
        <v>257</v>
      </c>
      <c r="X99" s="47" t="s">
        <v>2449</v>
      </c>
      <c r="Y99" s="48">
        <v>2.4</v>
      </c>
      <c r="Z99" s="49" t="s">
        <v>258</v>
      </c>
      <c r="AA99" s="50" t="s">
        <v>255</v>
      </c>
      <c r="AB99" s="51">
        <v>1.9</v>
      </c>
    </row>
    <row r="100" spans="1:28" ht="13.5" customHeight="1">
      <c r="A100" s="27"/>
      <c r="B100" s="44"/>
      <c r="C100" s="36"/>
      <c r="D100" s="6"/>
      <c r="E100" s="46" t="s">
        <v>260</v>
      </c>
      <c r="F100" s="47" t="s">
        <v>259</v>
      </c>
      <c r="G100" s="48">
        <v>0.4</v>
      </c>
      <c r="H100" s="46" t="s">
        <v>260</v>
      </c>
      <c r="I100" s="47" t="s">
        <v>259</v>
      </c>
      <c r="J100" s="48">
        <v>0.5</v>
      </c>
      <c r="K100" s="46" t="s">
        <v>260</v>
      </c>
      <c r="L100" s="47" t="s">
        <v>259</v>
      </c>
      <c r="M100" s="48">
        <v>0.6</v>
      </c>
      <c r="N100" s="46" t="s">
        <v>260</v>
      </c>
      <c r="O100" s="47" t="s">
        <v>259</v>
      </c>
      <c r="P100" s="48">
        <v>0.6</v>
      </c>
      <c r="Q100" s="46" t="s">
        <v>260</v>
      </c>
      <c r="R100" s="47" t="s">
        <v>259</v>
      </c>
      <c r="S100" s="48">
        <v>0.9</v>
      </c>
      <c r="T100" s="46" t="s">
        <v>260</v>
      </c>
      <c r="U100" s="47" t="s">
        <v>259</v>
      </c>
      <c r="V100" s="48">
        <v>0.7</v>
      </c>
      <c r="W100" s="46" t="s">
        <v>261</v>
      </c>
      <c r="X100" s="47" t="s">
        <v>2450</v>
      </c>
      <c r="Y100" s="48">
        <v>0.6</v>
      </c>
      <c r="Z100" s="49" t="s">
        <v>262</v>
      </c>
      <c r="AA100" s="50" t="s">
        <v>259</v>
      </c>
      <c r="AB100" s="51">
        <v>0.8</v>
      </c>
    </row>
    <row r="101" spans="1:28" ht="13.5" customHeight="1">
      <c r="A101" s="27"/>
      <c r="B101" s="44"/>
      <c r="C101" s="36"/>
      <c r="D101" s="6"/>
      <c r="E101" s="46" t="s">
        <v>264</v>
      </c>
      <c r="F101" s="47" t="s">
        <v>263</v>
      </c>
      <c r="G101" s="48">
        <v>1</v>
      </c>
      <c r="H101" s="46" t="s">
        <v>264</v>
      </c>
      <c r="I101" s="47" t="s">
        <v>263</v>
      </c>
      <c r="J101" s="48">
        <v>1</v>
      </c>
      <c r="K101" s="46" t="s">
        <v>264</v>
      </c>
      <c r="L101" s="47" t="s">
        <v>263</v>
      </c>
      <c r="M101" s="48">
        <v>1.1000000000000001</v>
      </c>
      <c r="N101" s="46" t="s">
        <v>264</v>
      </c>
      <c r="O101" s="47" t="s">
        <v>263</v>
      </c>
      <c r="P101" s="48">
        <v>1.1000000000000001</v>
      </c>
      <c r="Q101" s="46" t="s">
        <v>264</v>
      </c>
      <c r="R101" s="47" t="s">
        <v>263</v>
      </c>
      <c r="S101" s="48">
        <v>1.1000000000000001</v>
      </c>
      <c r="T101" s="46" t="s">
        <v>264</v>
      </c>
      <c r="U101" s="47" t="s">
        <v>263</v>
      </c>
      <c r="V101" s="48">
        <v>1</v>
      </c>
      <c r="W101" s="46" t="s">
        <v>265</v>
      </c>
      <c r="X101" s="47" t="s">
        <v>2451</v>
      </c>
      <c r="Y101" s="48">
        <v>1.1000000000000001</v>
      </c>
      <c r="Z101" s="49" t="s">
        <v>266</v>
      </c>
      <c r="AA101" s="50" t="s">
        <v>263</v>
      </c>
      <c r="AB101" s="51">
        <v>1.2</v>
      </c>
    </row>
    <row r="102" spans="1:28" ht="13.5" customHeight="1">
      <c r="A102" s="27"/>
      <c r="B102" s="44"/>
      <c r="C102" s="36"/>
      <c r="D102" s="6"/>
      <c r="E102" s="46" t="s">
        <v>268</v>
      </c>
      <c r="F102" s="47" t="s">
        <v>267</v>
      </c>
      <c r="G102" s="48">
        <v>1</v>
      </c>
      <c r="H102" s="46" t="s">
        <v>268</v>
      </c>
      <c r="I102" s="47" t="s">
        <v>267</v>
      </c>
      <c r="J102" s="48">
        <v>1.1000000000000001</v>
      </c>
      <c r="K102" s="46" t="s">
        <v>268</v>
      </c>
      <c r="L102" s="47" t="s">
        <v>267</v>
      </c>
      <c r="M102" s="48">
        <v>1.4</v>
      </c>
      <c r="N102" s="46" t="s">
        <v>268</v>
      </c>
      <c r="O102" s="47" t="s">
        <v>267</v>
      </c>
      <c r="P102" s="48">
        <v>1.4</v>
      </c>
      <c r="Q102" s="46" t="s">
        <v>268</v>
      </c>
      <c r="R102" s="47" t="s">
        <v>267</v>
      </c>
      <c r="S102" s="48">
        <v>1.6</v>
      </c>
      <c r="T102" s="46" t="s">
        <v>268</v>
      </c>
      <c r="U102" s="47" t="s">
        <v>267</v>
      </c>
      <c r="V102" s="48">
        <v>1.6</v>
      </c>
      <c r="W102" s="46" t="s">
        <v>269</v>
      </c>
      <c r="X102" s="47" t="s">
        <v>2452</v>
      </c>
      <c r="Y102" s="48">
        <v>1.9</v>
      </c>
      <c r="Z102" s="49" t="s">
        <v>270</v>
      </c>
      <c r="AA102" s="50" t="s">
        <v>267</v>
      </c>
      <c r="AB102" s="51">
        <v>2.5</v>
      </c>
    </row>
    <row r="103" spans="1:28" ht="13.5" customHeight="1">
      <c r="A103" s="27"/>
      <c r="B103" s="44"/>
      <c r="C103" s="36"/>
      <c r="D103" s="6"/>
      <c r="E103" s="46" t="s">
        <v>272</v>
      </c>
      <c r="F103" s="47" t="s">
        <v>271</v>
      </c>
      <c r="G103" s="48">
        <v>1.5</v>
      </c>
      <c r="H103" s="46" t="s">
        <v>272</v>
      </c>
      <c r="I103" s="47" t="s">
        <v>271</v>
      </c>
      <c r="J103" s="48">
        <v>1.5</v>
      </c>
      <c r="K103" s="46" t="s">
        <v>272</v>
      </c>
      <c r="L103" s="47" t="s">
        <v>271</v>
      </c>
      <c r="M103" s="48">
        <v>1.6</v>
      </c>
      <c r="N103" s="46" t="s">
        <v>272</v>
      </c>
      <c r="O103" s="47" t="s">
        <v>271</v>
      </c>
      <c r="P103" s="48">
        <v>1.5</v>
      </c>
      <c r="Q103" s="46" t="s">
        <v>272</v>
      </c>
      <c r="R103" s="47" t="s">
        <v>271</v>
      </c>
      <c r="S103" s="48">
        <v>1.4</v>
      </c>
      <c r="T103" s="46" t="s">
        <v>272</v>
      </c>
      <c r="U103" s="47" t="s">
        <v>271</v>
      </c>
      <c r="V103" s="48">
        <v>1.3</v>
      </c>
      <c r="W103" s="46" t="s">
        <v>273</v>
      </c>
      <c r="X103" s="47" t="s">
        <v>2453</v>
      </c>
      <c r="Y103" s="48">
        <v>1.4</v>
      </c>
      <c r="Z103" s="49" t="s">
        <v>274</v>
      </c>
      <c r="AA103" s="50" t="s">
        <v>271</v>
      </c>
      <c r="AB103" s="51">
        <v>1.2</v>
      </c>
    </row>
    <row r="104" spans="1:28" ht="13.5" customHeight="1">
      <c r="A104" s="27"/>
      <c r="B104" s="44"/>
      <c r="C104" s="36"/>
      <c r="D104" s="6"/>
      <c r="E104" s="46" t="s">
        <v>276</v>
      </c>
      <c r="F104" s="47" t="s">
        <v>275</v>
      </c>
      <c r="G104" s="48">
        <v>0.8</v>
      </c>
      <c r="H104" s="46" t="s">
        <v>276</v>
      </c>
      <c r="I104" s="47" t="s">
        <v>275</v>
      </c>
      <c r="J104" s="48">
        <v>0.9</v>
      </c>
      <c r="K104" s="46" t="s">
        <v>276</v>
      </c>
      <c r="L104" s="47" t="s">
        <v>275</v>
      </c>
      <c r="M104" s="48">
        <v>1.2</v>
      </c>
      <c r="N104" s="46" t="s">
        <v>276</v>
      </c>
      <c r="O104" s="47" t="s">
        <v>275</v>
      </c>
      <c r="P104" s="48">
        <v>1.1000000000000001</v>
      </c>
      <c r="Q104" s="46" t="s">
        <v>276</v>
      </c>
      <c r="R104" s="47" t="s">
        <v>275</v>
      </c>
      <c r="S104" s="48">
        <v>0.9</v>
      </c>
      <c r="T104" s="46" t="s">
        <v>276</v>
      </c>
      <c r="U104" s="47" t="s">
        <v>275</v>
      </c>
      <c r="V104" s="48">
        <v>0.9</v>
      </c>
      <c r="W104" s="46" t="s">
        <v>277</v>
      </c>
      <c r="X104" s="47" t="s">
        <v>2454</v>
      </c>
      <c r="Y104" s="48">
        <v>0.6</v>
      </c>
      <c r="Z104" s="49" t="s">
        <v>278</v>
      </c>
      <c r="AA104" s="50" t="s">
        <v>275</v>
      </c>
      <c r="AB104" s="51">
        <v>0.5</v>
      </c>
    </row>
    <row r="105" spans="1:28" ht="13.5" customHeight="1">
      <c r="A105" s="27"/>
      <c r="B105" s="44"/>
      <c r="C105" s="36"/>
      <c r="D105" s="6"/>
      <c r="E105" s="46" t="s">
        <v>280</v>
      </c>
      <c r="F105" s="47" t="s">
        <v>279</v>
      </c>
      <c r="G105" s="48">
        <v>0.4</v>
      </c>
      <c r="H105" s="46" t="s">
        <v>280</v>
      </c>
      <c r="I105" s="47" t="s">
        <v>279</v>
      </c>
      <c r="J105" s="48">
        <v>0.4</v>
      </c>
      <c r="K105" s="46" t="s">
        <v>280</v>
      </c>
      <c r="L105" s="47" t="s">
        <v>279</v>
      </c>
      <c r="M105" s="48">
        <v>0.4</v>
      </c>
      <c r="N105" s="46" t="s">
        <v>280</v>
      </c>
      <c r="O105" s="47" t="s">
        <v>279</v>
      </c>
      <c r="P105" s="48">
        <v>0.3</v>
      </c>
      <c r="Q105" s="46" t="s">
        <v>280</v>
      </c>
      <c r="R105" s="47" t="s">
        <v>279</v>
      </c>
      <c r="S105" s="48">
        <v>0.3</v>
      </c>
      <c r="T105" s="46" t="s">
        <v>280</v>
      </c>
      <c r="U105" s="47" t="s">
        <v>279</v>
      </c>
      <c r="V105" s="48">
        <v>0.5</v>
      </c>
      <c r="W105" s="46" t="s">
        <v>281</v>
      </c>
      <c r="X105" s="47" t="s">
        <v>2455</v>
      </c>
      <c r="Y105" s="48">
        <v>0.3</v>
      </c>
      <c r="Z105" s="49"/>
      <c r="AA105" s="50"/>
      <c r="AB105" s="51"/>
    </row>
    <row r="106" spans="1:28" ht="13.5" customHeight="1">
      <c r="A106" s="27"/>
      <c r="B106" s="44"/>
      <c r="C106" s="36"/>
      <c r="D106" s="6"/>
      <c r="E106" s="46" t="s">
        <v>3038</v>
      </c>
      <c r="F106" s="47" t="s">
        <v>3039</v>
      </c>
      <c r="G106" s="48">
        <v>1</v>
      </c>
      <c r="H106" s="46" t="s">
        <v>3038</v>
      </c>
      <c r="I106" s="47" t="s">
        <v>3039</v>
      </c>
      <c r="J106" s="48">
        <v>1.1000000000000001</v>
      </c>
      <c r="K106" s="46" t="s">
        <v>2966</v>
      </c>
      <c r="L106" s="47" t="s">
        <v>2456</v>
      </c>
      <c r="M106" s="48">
        <v>1.2</v>
      </c>
      <c r="N106" s="46" t="s">
        <v>2966</v>
      </c>
      <c r="O106" s="47" t="s">
        <v>2456</v>
      </c>
      <c r="P106" s="48">
        <v>1.1000000000000001</v>
      </c>
      <c r="Q106" s="46" t="s">
        <v>282</v>
      </c>
      <c r="R106" s="47" t="s">
        <v>283</v>
      </c>
      <c r="S106" s="48">
        <v>0.4</v>
      </c>
      <c r="T106" s="46" t="s">
        <v>282</v>
      </c>
      <c r="U106" s="47" t="s">
        <v>283</v>
      </c>
      <c r="V106" s="48">
        <v>0.3</v>
      </c>
      <c r="W106" s="46" t="s">
        <v>284</v>
      </c>
      <c r="X106" s="47" t="s">
        <v>2457</v>
      </c>
      <c r="Y106" s="48">
        <v>0.3</v>
      </c>
      <c r="Z106" s="49" t="s">
        <v>285</v>
      </c>
      <c r="AA106" s="50" t="s">
        <v>283</v>
      </c>
      <c r="AB106" s="51">
        <v>0.2</v>
      </c>
    </row>
    <row r="107" spans="1:28" ht="13.5" customHeight="1">
      <c r="A107" s="27"/>
      <c r="B107" s="44"/>
      <c r="C107" s="36"/>
      <c r="D107" s="6"/>
      <c r="E107" s="46"/>
      <c r="F107" s="47"/>
      <c r="G107" s="48"/>
      <c r="H107" s="46"/>
      <c r="I107" s="47"/>
      <c r="J107" s="48"/>
      <c r="K107" s="46"/>
      <c r="L107" s="47"/>
      <c r="M107" s="48"/>
      <c r="N107" s="46"/>
      <c r="O107" s="47"/>
      <c r="P107" s="48"/>
      <c r="Q107" s="46"/>
      <c r="R107" s="47"/>
      <c r="S107" s="48"/>
      <c r="T107" s="46"/>
      <c r="U107" s="47"/>
      <c r="V107" s="48"/>
      <c r="W107" s="46"/>
      <c r="X107" s="47"/>
      <c r="Y107" s="48"/>
      <c r="Z107" s="49"/>
      <c r="AA107" s="50"/>
      <c r="AB107" s="51"/>
    </row>
    <row r="108" spans="1:28" ht="13.5" customHeight="1">
      <c r="A108" s="27"/>
      <c r="B108" s="44"/>
      <c r="C108" s="36"/>
      <c r="D108" s="6"/>
      <c r="E108" s="46"/>
      <c r="F108" s="47"/>
      <c r="G108" s="48"/>
      <c r="H108" s="46"/>
      <c r="I108" s="47"/>
      <c r="J108" s="48"/>
      <c r="K108" s="46"/>
      <c r="L108" s="47"/>
      <c r="M108" s="48"/>
      <c r="N108" s="46"/>
      <c r="O108" s="47"/>
      <c r="P108" s="48"/>
      <c r="Q108" s="46"/>
      <c r="R108" s="47"/>
      <c r="S108" s="48"/>
      <c r="T108" s="46"/>
      <c r="U108" s="47"/>
      <c r="V108" s="48"/>
      <c r="W108" s="46"/>
      <c r="X108" s="47"/>
      <c r="Y108" s="48"/>
      <c r="Z108" s="49"/>
      <c r="AA108" s="50"/>
      <c r="AB108" s="51"/>
    </row>
    <row r="109" spans="1:28" ht="13.5" customHeight="1">
      <c r="A109" s="27"/>
      <c r="B109" s="44"/>
      <c r="C109" s="36"/>
      <c r="D109" s="6"/>
      <c r="E109" s="46"/>
      <c r="F109" s="47"/>
      <c r="G109" s="48"/>
      <c r="H109" s="46"/>
      <c r="I109" s="47"/>
      <c r="J109" s="48"/>
      <c r="K109" s="46"/>
      <c r="L109" s="47"/>
      <c r="M109" s="48"/>
      <c r="N109" s="46"/>
      <c r="O109" s="47"/>
      <c r="P109" s="48"/>
      <c r="Q109" s="46"/>
      <c r="R109" s="47"/>
      <c r="S109" s="48"/>
      <c r="T109" s="46"/>
      <c r="U109" s="47"/>
      <c r="V109" s="48"/>
      <c r="W109" s="46"/>
      <c r="X109" s="47"/>
      <c r="Y109" s="48"/>
      <c r="Z109" s="49"/>
      <c r="AA109" s="50"/>
      <c r="AB109" s="51"/>
    </row>
    <row r="110" spans="1:28" ht="13.5" customHeight="1">
      <c r="A110" s="27"/>
      <c r="B110" s="44"/>
      <c r="C110" s="36"/>
      <c r="D110" s="6"/>
      <c r="E110" s="46" t="s">
        <v>282</v>
      </c>
      <c r="F110" s="47" t="s">
        <v>3040</v>
      </c>
      <c r="G110" s="48">
        <v>0.4</v>
      </c>
      <c r="H110" s="46" t="s">
        <v>282</v>
      </c>
      <c r="I110" s="47" t="s">
        <v>3040</v>
      </c>
      <c r="J110" s="48">
        <v>0.3</v>
      </c>
      <c r="K110" s="46" t="s">
        <v>282</v>
      </c>
      <c r="L110" s="47" t="s">
        <v>2458</v>
      </c>
      <c r="M110" s="48">
        <v>0.3</v>
      </c>
      <c r="N110" s="46" t="s">
        <v>282</v>
      </c>
      <c r="O110" s="47" t="s">
        <v>2458</v>
      </c>
      <c r="P110" s="48">
        <v>0.2</v>
      </c>
      <c r="Q110" s="46"/>
      <c r="R110" s="47"/>
      <c r="S110" s="48"/>
      <c r="T110" s="46"/>
      <c r="U110" s="47"/>
      <c r="V110" s="48"/>
      <c r="W110" s="46"/>
      <c r="X110" s="47"/>
      <c r="Y110" s="48"/>
      <c r="Z110" s="49"/>
      <c r="AA110" s="50"/>
      <c r="AB110" s="51"/>
    </row>
    <row r="111" spans="1:28" ht="13.5" customHeight="1">
      <c r="A111" s="27"/>
      <c r="B111" s="44"/>
      <c r="C111" s="36"/>
      <c r="D111" s="6"/>
      <c r="E111" s="46" t="s">
        <v>3041</v>
      </c>
      <c r="F111" s="56" t="s">
        <v>3033</v>
      </c>
      <c r="G111" s="48">
        <v>0.2</v>
      </c>
      <c r="H111" s="46" t="s">
        <v>3041</v>
      </c>
      <c r="I111" s="56" t="s">
        <v>3033</v>
      </c>
      <c r="J111" s="48">
        <v>0.3</v>
      </c>
      <c r="K111" s="46" t="s">
        <v>2967</v>
      </c>
      <c r="L111" s="56" t="s">
        <v>3033</v>
      </c>
      <c r="M111" s="48">
        <v>0.2</v>
      </c>
      <c r="N111" s="46" t="s">
        <v>2967</v>
      </c>
      <c r="O111" s="56" t="s">
        <v>3033</v>
      </c>
      <c r="P111" s="48">
        <v>0.3</v>
      </c>
      <c r="Q111" s="57"/>
      <c r="R111" s="56"/>
      <c r="S111" s="58"/>
      <c r="T111" s="57"/>
      <c r="U111" s="56"/>
      <c r="V111" s="58"/>
      <c r="W111" s="57"/>
      <c r="X111" s="56"/>
      <c r="Y111" s="58"/>
      <c r="Z111" s="59"/>
      <c r="AA111" s="60"/>
      <c r="AB111" s="61"/>
    </row>
    <row r="112" spans="1:28" ht="13.5" customHeight="1">
      <c r="A112" s="27"/>
      <c r="B112" s="44"/>
      <c r="C112" s="36"/>
      <c r="D112" s="6"/>
      <c r="E112" s="46" t="s">
        <v>2967</v>
      </c>
      <c r="F112" s="56" t="s">
        <v>3034</v>
      </c>
      <c r="G112" s="48">
        <v>0.4</v>
      </c>
      <c r="H112" s="46" t="s">
        <v>2967</v>
      </c>
      <c r="I112" s="56" t="s">
        <v>3034</v>
      </c>
      <c r="J112" s="48">
        <v>0.3</v>
      </c>
      <c r="K112" s="46"/>
      <c r="L112" s="56"/>
      <c r="M112" s="48"/>
      <c r="N112" s="46"/>
      <c r="O112" s="56"/>
      <c r="P112" s="48"/>
      <c r="Q112" s="57"/>
      <c r="R112" s="56"/>
      <c r="S112" s="58"/>
      <c r="T112" s="57"/>
      <c r="U112" s="56"/>
      <c r="V112" s="58"/>
      <c r="W112" s="57"/>
      <c r="X112" s="56"/>
      <c r="Y112" s="58"/>
      <c r="Z112" s="59"/>
      <c r="AA112" s="60"/>
      <c r="AB112" s="61"/>
    </row>
    <row r="113" spans="1:28" ht="13.5" customHeight="1">
      <c r="A113" s="27"/>
      <c r="B113" s="44"/>
      <c r="C113" s="36"/>
      <c r="D113" s="6"/>
      <c r="E113" s="46" t="s">
        <v>2966</v>
      </c>
      <c r="F113" s="56" t="s">
        <v>3035</v>
      </c>
      <c r="G113" s="48">
        <v>0.3</v>
      </c>
      <c r="H113" s="46" t="s">
        <v>2966</v>
      </c>
      <c r="I113" s="56" t="s">
        <v>3035</v>
      </c>
      <c r="J113" s="48">
        <v>0.4</v>
      </c>
      <c r="K113" s="46"/>
      <c r="L113" s="56"/>
      <c r="M113" s="48"/>
      <c r="N113" s="46"/>
      <c r="O113" s="56"/>
      <c r="P113" s="48"/>
      <c r="Q113" s="57"/>
      <c r="R113" s="56"/>
      <c r="S113" s="58"/>
      <c r="T113" s="57"/>
      <c r="U113" s="56"/>
      <c r="V113" s="58"/>
      <c r="W113" s="57"/>
      <c r="X113" s="56"/>
      <c r="Y113" s="58"/>
      <c r="Z113" s="59"/>
      <c r="AA113" s="60"/>
      <c r="AB113" s="61"/>
    </row>
    <row r="114" spans="1:28" ht="13.5" customHeight="1">
      <c r="A114" s="27"/>
      <c r="B114" s="44"/>
      <c r="C114" s="36"/>
      <c r="D114" s="6"/>
      <c r="E114" s="46" t="s">
        <v>3042</v>
      </c>
      <c r="F114" s="56" t="s">
        <v>3036</v>
      </c>
      <c r="G114" s="48">
        <v>0.1</v>
      </c>
      <c r="H114" s="46" t="s">
        <v>3042</v>
      </c>
      <c r="I114" s="56" t="s">
        <v>3036</v>
      </c>
      <c r="J114" s="48">
        <v>0.1</v>
      </c>
      <c r="K114" s="46"/>
      <c r="L114" s="56"/>
      <c r="M114" s="48"/>
      <c r="N114" s="46"/>
      <c r="O114" s="56"/>
      <c r="P114" s="48"/>
      <c r="Q114" s="57"/>
      <c r="R114" s="56"/>
      <c r="S114" s="58"/>
      <c r="T114" s="57"/>
      <c r="U114" s="56"/>
      <c r="V114" s="58"/>
      <c r="W114" s="57"/>
      <c r="X114" s="56"/>
      <c r="Y114" s="58"/>
      <c r="Z114" s="59"/>
      <c r="AA114" s="60"/>
      <c r="AB114" s="61"/>
    </row>
    <row r="115" spans="1:28" ht="13.5" customHeight="1">
      <c r="A115" s="27"/>
      <c r="B115" s="44"/>
      <c r="C115" s="36"/>
      <c r="D115" s="6"/>
      <c r="E115" s="46" t="s">
        <v>3043</v>
      </c>
      <c r="F115" s="75" t="s">
        <v>3037</v>
      </c>
      <c r="G115" s="48">
        <v>0.2</v>
      </c>
      <c r="H115" s="46" t="s">
        <v>3043</v>
      </c>
      <c r="I115" s="75" t="s">
        <v>3037</v>
      </c>
      <c r="J115" s="48">
        <v>0.2</v>
      </c>
      <c r="K115" s="46"/>
      <c r="L115" s="75"/>
      <c r="M115" s="48"/>
      <c r="N115" s="46"/>
      <c r="O115" s="75"/>
      <c r="P115" s="48"/>
      <c r="Q115" s="76"/>
      <c r="R115" s="75"/>
      <c r="S115" s="77"/>
      <c r="T115" s="76"/>
      <c r="U115" s="75"/>
      <c r="V115" s="77"/>
      <c r="W115" s="76"/>
      <c r="X115" s="75"/>
      <c r="Y115" s="77"/>
      <c r="Z115" s="78"/>
      <c r="AA115" s="79"/>
      <c r="AB115" s="80"/>
    </row>
    <row r="116" spans="1:28" ht="13.5" customHeight="1">
      <c r="A116" s="27"/>
      <c r="B116" s="44"/>
      <c r="C116" s="28" t="s">
        <v>286</v>
      </c>
      <c r="D116" s="30" t="s">
        <v>287</v>
      </c>
      <c r="E116" s="37" t="s">
        <v>288</v>
      </c>
      <c r="F116" s="71"/>
      <c r="G116" s="39">
        <f>SUM(G117:G149)</f>
        <v>15.7</v>
      </c>
      <c r="H116" s="37" t="s">
        <v>288</v>
      </c>
      <c r="I116" s="71"/>
      <c r="J116" s="39">
        <f>SUM(J117:J149)</f>
        <v>18.400000000000002</v>
      </c>
      <c r="K116" s="37" t="s">
        <v>288</v>
      </c>
      <c r="L116" s="71"/>
      <c r="M116" s="39">
        <f>SUM(M117:M149)</f>
        <v>17.5</v>
      </c>
      <c r="N116" s="37" t="s">
        <v>288</v>
      </c>
      <c r="O116" s="71"/>
      <c r="P116" s="39">
        <f>SUM(P117:P149)</f>
        <v>16.699999999999996</v>
      </c>
      <c r="Q116" s="37" t="s">
        <v>288</v>
      </c>
      <c r="R116" s="71"/>
      <c r="S116" s="39">
        <f>SUM(S117:S149)</f>
        <v>17.900000000000002</v>
      </c>
      <c r="T116" s="37" t="s">
        <v>288</v>
      </c>
      <c r="U116" s="71"/>
      <c r="V116" s="39">
        <f>SUM(V117:V149)</f>
        <v>18.300000000000004</v>
      </c>
      <c r="W116" s="72"/>
      <c r="X116" s="71"/>
      <c r="Y116" s="39">
        <f>SUM(Y117:Y149)</f>
        <v>17.999999999999996</v>
      </c>
      <c r="Z116" s="73"/>
      <c r="AA116" s="74"/>
      <c r="AB116" s="39">
        <f>SUM(AB117:AB149)</f>
        <v>20.200000000000003</v>
      </c>
    </row>
    <row r="117" spans="1:28" ht="13.5" customHeight="1">
      <c r="A117" s="27"/>
      <c r="B117" s="44"/>
      <c r="C117" s="44"/>
      <c r="D117" s="45"/>
      <c r="E117" s="46" t="s">
        <v>290</v>
      </c>
      <c r="F117" s="47" t="s">
        <v>289</v>
      </c>
      <c r="G117" s="48">
        <v>1.3</v>
      </c>
      <c r="H117" s="46" t="s">
        <v>290</v>
      </c>
      <c r="I117" s="47" t="s">
        <v>289</v>
      </c>
      <c r="J117" s="48">
        <v>1.5</v>
      </c>
      <c r="K117" s="46" t="s">
        <v>290</v>
      </c>
      <c r="L117" s="47" t="s">
        <v>289</v>
      </c>
      <c r="M117" s="48">
        <v>1.5</v>
      </c>
      <c r="N117" s="46" t="s">
        <v>290</v>
      </c>
      <c r="O117" s="47" t="s">
        <v>289</v>
      </c>
      <c r="P117" s="48">
        <v>1.2</v>
      </c>
      <c r="Q117" s="46" t="s">
        <v>290</v>
      </c>
      <c r="R117" s="47" t="s">
        <v>289</v>
      </c>
      <c r="S117" s="48">
        <v>1.7</v>
      </c>
      <c r="T117" s="46" t="s">
        <v>290</v>
      </c>
      <c r="U117" s="47" t="s">
        <v>289</v>
      </c>
      <c r="V117" s="48">
        <v>1.7</v>
      </c>
      <c r="W117" s="46" t="s">
        <v>291</v>
      </c>
      <c r="X117" s="47" t="s">
        <v>2459</v>
      </c>
      <c r="Y117" s="48">
        <v>1.9</v>
      </c>
      <c r="Z117" s="49" t="s">
        <v>292</v>
      </c>
      <c r="AA117" s="50" t="s">
        <v>289</v>
      </c>
      <c r="AB117" s="51">
        <v>2.4</v>
      </c>
    </row>
    <row r="118" spans="1:28" ht="13.5" customHeight="1">
      <c r="A118" s="27"/>
      <c r="B118" s="44"/>
      <c r="C118" s="36"/>
      <c r="D118" s="6"/>
      <c r="E118" s="46" t="s">
        <v>294</v>
      </c>
      <c r="F118" s="47" t="s">
        <v>293</v>
      </c>
      <c r="G118" s="48">
        <v>0.6</v>
      </c>
      <c r="H118" s="46" t="s">
        <v>294</v>
      </c>
      <c r="I118" s="47" t="s">
        <v>293</v>
      </c>
      <c r="J118" s="48">
        <v>0.6</v>
      </c>
      <c r="K118" s="46" t="s">
        <v>294</v>
      </c>
      <c r="L118" s="47" t="s">
        <v>293</v>
      </c>
      <c r="M118" s="48">
        <v>0.6</v>
      </c>
      <c r="N118" s="46" t="s">
        <v>294</v>
      </c>
      <c r="O118" s="47" t="s">
        <v>293</v>
      </c>
      <c r="P118" s="48">
        <v>0.5</v>
      </c>
      <c r="Q118" s="46" t="s">
        <v>294</v>
      </c>
      <c r="R118" s="47" t="s">
        <v>293</v>
      </c>
      <c r="S118" s="48">
        <v>0.4</v>
      </c>
      <c r="T118" s="46" t="s">
        <v>294</v>
      </c>
      <c r="U118" s="47" t="s">
        <v>293</v>
      </c>
      <c r="V118" s="48">
        <v>0.4</v>
      </c>
      <c r="W118" s="46" t="s">
        <v>295</v>
      </c>
      <c r="X118" s="47" t="s">
        <v>2460</v>
      </c>
      <c r="Y118" s="48">
        <v>0.4</v>
      </c>
      <c r="Z118" s="49" t="s">
        <v>296</v>
      </c>
      <c r="AA118" s="50" t="s">
        <v>293</v>
      </c>
      <c r="AB118" s="51">
        <v>0.8</v>
      </c>
    </row>
    <row r="119" spans="1:28" ht="13.5" customHeight="1">
      <c r="A119" s="27"/>
      <c r="B119" s="44"/>
      <c r="C119" s="44"/>
      <c r="D119" s="6"/>
      <c r="E119" s="46"/>
      <c r="F119" s="47"/>
      <c r="G119" s="48"/>
      <c r="H119" s="46"/>
      <c r="I119" s="47"/>
      <c r="J119" s="48"/>
      <c r="K119" s="46"/>
      <c r="L119" s="47"/>
      <c r="M119" s="48"/>
      <c r="N119" s="46"/>
      <c r="O119" s="47"/>
      <c r="P119" s="48"/>
      <c r="Q119" s="46" t="s">
        <v>297</v>
      </c>
      <c r="R119" s="47" t="s">
        <v>298</v>
      </c>
      <c r="S119" s="48">
        <v>0.2</v>
      </c>
      <c r="T119" s="46" t="s">
        <v>297</v>
      </c>
      <c r="U119" s="47" t="s">
        <v>298</v>
      </c>
      <c r="V119" s="48">
        <v>0.2</v>
      </c>
      <c r="W119" s="46" t="s">
        <v>299</v>
      </c>
      <c r="X119" s="47" t="s">
        <v>2461</v>
      </c>
      <c r="Y119" s="48">
        <v>0.2</v>
      </c>
      <c r="Z119" s="49"/>
      <c r="AA119" s="50"/>
      <c r="AB119" s="51"/>
    </row>
    <row r="120" spans="1:28" ht="13.5" customHeight="1">
      <c r="A120" s="27"/>
      <c r="B120" s="44"/>
      <c r="C120" s="44"/>
      <c r="D120" s="6"/>
      <c r="E120" s="46" t="s">
        <v>297</v>
      </c>
      <c r="F120" s="47" t="s">
        <v>300</v>
      </c>
      <c r="G120" s="48">
        <v>0.3</v>
      </c>
      <c r="H120" s="46" t="s">
        <v>297</v>
      </c>
      <c r="I120" s="47" t="s">
        <v>300</v>
      </c>
      <c r="J120" s="48">
        <v>0.4</v>
      </c>
      <c r="K120" s="46" t="s">
        <v>297</v>
      </c>
      <c r="L120" s="47" t="s">
        <v>300</v>
      </c>
      <c r="M120" s="48">
        <v>0.5</v>
      </c>
      <c r="N120" s="46" t="s">
        <v>297</v>
      </c>
      <c r="O120" s="47" t="s">
        <v>300</v>
      </c>
      <c r="P120" s="48">
        <v>0.5</v>
      </c>
      <c r="Q120" s="46" t="s">
        <v>301</v>
      </c>
      <c r="R120" s="47" t="s">
        <v>300</v>
      </c>
      <c r="S120" s="48">
        <v>0.5</v>
      </c>
      <c r="T120" s="46" t="s">
        <v>301</v>
      </c>
      <c r="U120" s="47" t="s">
        <v>300</v>
      </c>
      <c r="V120" s="48">
        <v>0.5</v>
      </c>
      <c r="W120" s="46" t="s">
        <v>302</v>
      </c>
      <c r="X120" s="47" t="s">
        <v>2462</v>
      </c>
      <c r="Y120" s="48">
        <v>0.4</v>
      </c>
      <c r="Z120" s="49" t="s">
        <v>303</v>
      </c>
      <c r="AA120" s="50" t="s">
        <v>300</v>
      </c>
      <c r="AB120" s="51">
        <v>0.6</v>
      </c>
    </row>
    <row r="121" spans="1:28" ht="13.5" customHeight="1">
      <c r="A121" s="27"/>
      <c r="B121" s="44"/>
      <c r="C121" s="44"/>
      <c r="D121" s="6"/>
      <c r="E121" s="46" t="s">
        <v>301</v>
      </c>
      <c r="F121" s="47" t="s">
        <v>304</v>
      </c>
      <c r="G121" s="48">
        <v>0.2</v>
      </c>
      <c r="H121" s="46" t="s">
        <v>301</v>
      </c>
      <c r="I121" s="47" t="s">
        <v>304</v>
      </c>
      <c r="J121" s="48">
        <v>0.3</v>
      </c>
      <c r="K121" s="46" t="s">
        <v>301</v>
      </c>
      <c r="L121" s="47" t="s">
        <v>304</v>
      </c>
      <c r="M121" s="48">
        <v>0.2</v>
      </c>
      <c r="N121" s="46" t="s">
        <v>301</v>
      </c>
      <c r="O121" s="47" t="s">
        <v>304</v>
      </c>
      <c r="P121" s="48">
        <v>0.2</v>
      </c>
      <c r="Q121" s="46" t="s">
        <v>305</v>
      </c>
      <c r="R121" s="47" t="s">
        <v>304</v>
      </c>
      <c r="S121" s="48">
        <v>0.2</v>
      </c>
      <c r="T121" s="46" t="s">
        <v>305</v>
      </c>
      <c r="U121" s="47" t="s">
        <v>304</v>
      </c>
      <c r="V121" s="48">
        <v>0.2</v>
      </c>
      <c r="W121" s="46" t="s">
        <v>306</v>
      </c>
      <c r="X121" s="47" t="s">
        <v>2463</v>
      </c>
      <c r="Y121" s="48">
        <v>0.1</v>
      </c>
      <c r="Z121" s="49" t="s">
        <v>307</v>
      </c>
      <c r="AA121" s="50" t="s">
        <v>304</v>
      </c>
      <c r="AB121" s="51">
        <v>0.1</v>
      </c>
    </row>
    <row r="122" spans="1:28" ht="13.5" customHeight="1">
      <c r="A122" s="27"/>
      <c r="B122" s="44"/>
      <c r="C122" s="44"/>
      <c r="D122" s="6"/>
      <c r="E122" s="46" t="s">
        <v>305</v>
      </c>
      <c r="F122" s="47" t="s">
        <v>308</v>
      </c>
      <c r="G122" s="48">
        <v>0.2</v>
      </c>
      <c r="H122" s="46" t="s">
        <v>305</v>
      </c>
      <c r="I122" s="47" t="s">
        <v>308</v>
      </c>
      <c r="J122" s="48">
        <v>0.2</v>
      </c>
      <c r="K122" s="46" t="s">
        <v>305</v>
      </c>
      <c r="L122" s="47" t="s">
        <v>308</v>
      </c>
      <c r="M122" s="48">
        <v>0.2</v>
      </c>
      <c r="N122" s="46" t="s">
        <v>305</v>
      </c>
      <c r="O122" s="47" t="s">
        <v>308</v>
      </c>
      <c r="P122" s="48">
        <v>0.2</v>
      </c>
      <c r="Q122" s="46" t="s">
        <v>309</v>
      </c>
      <c r="R122" s="47" t="s">
        <v>308</v>
      </c>
      <c r="S122" s="48">
        <v>0.2</v>
      </c>
      <c r="T122" s="46" t="s">
        <v>309</v>
      </c>
      <c r="U122" s="47" t="s">
        <v>308</v>
      </c>
      <c r="V122" s="48">
        <v>0.2</v>
      </c>
      <c r="W122" s="46" t="s">
        <v>310</v>
      </c>
      <c r="X122" s="47" t="s">
        <v>2464</v>
      </c>
      <c r="Y122" s="48">
        <v>0.2</v>
      </c>
      <c r="Z122" s="49" t="s">
        <v>311</v>
      </c>
      <c r="AA122" s="50" t="s">
        <v>308</v>
      </c>
      <c r="AB122" s="51">
        <v>0.2</v>
      </c>
    </row>
    <row r="123" spans="1:28" ht="13.5" customHeight="1">
      <c r="A123" s="27"/>
      <c r="B123" s="44"/>
      <c r="C123" s="44"/>
      <c r="D123" s="6"/>
      <c r="E123" s="46" t="s">
        <v>309</v>
      </c>
      <c r="F123" s="47" t="s">
        <v>312</v>
      </c>
      <c r="G123" s="48">
        <v>0.2</v>
      </c>
      <c r="H123" s="46" t="s">
        <v>309</v>
      </c>
      <c r="I123" s="47" t="s">
        <v>312</v>
      </c>
      <c r="J123" s="48">
        <v>0.3</v>
      </c>
      <c r="K123" s="46" t="s">
        <v>309</v>
      </c>
      <c r="L123" s="47" t="s">
        <v>312</v>
      </c>
      <c r="M123" s="48">
        <v>0.2</v>
      </c>
      <c r="N123" s="46" t="s">
        <v>309</v>
      </c>
      <c r="O123" s="47" t="s">
        <v>312</v>
      </c>
      <c r="P123" s="48">
        <v>0.2</v>
      </c>
      <c r="Q123" s="46" t="s">
        <v>313</v>
      </c>
      <c r="R123" s="47" t="s">
        <v>312</v>
      </c>
      <c r="S123" s="48">
        <v>0.2</v>
      </c>
      <c r="T123" s="46" t="s">
        <v>313</v>
      </c>
      <c r="U123" s="47" t="s">
        <v>312</v>
      </c>
      <c r="V123" s="48">
        <v>0.2</v>
      </c>
      <c r="W123" s="46" t="s">
        <v>314</v>
      </c>
      <c r="X123" s="47" t="s">
        <v>2465</v>
      </c>
      <c r="Y123" s="48">
        <v>0.2</v>
      </c>
      <c r="Z123" s="49" t="s">
        <v>315</v>
      </c>
      <c r="AA123" s="50" t="s">
        <v>312</v>
      </c>
      <c r="AB123" s="51">
        <v>0.3</v>
      </c>
    </row>
    <row r="124" spans="1:28" ht="13.5" customHeight="1">
      <c r="A124" s="27"/>
      <c r="B124" s="44"/>
      <c r="C124" s="36"/>
      <c r="D124" s="6"/>
      <c r="E124" s="46" t="s">
        <v>313</v>
      </c>
      <c r="F124" s="47" t="s">
        <v>316</v>
      </c>
      <c r="G124" s="48">
        <v>0.2</v>
      </c>
      <c r="H124" s="46" t="s">
        <v>313</v>
      </c>
      <c r="I124" s="47" t="s">
        <v>316</v>
      </c>
      <c r="J124" s="48">
        <v>0.2</v>
      </c>
      <c r="K124" s="46" t="s">
        <v>313</v>
      </c>
      <c r="L124" s="47" t="s">
        <v>316</v>
      </c>
      <c r="M124" s="48">
        <v>0.2</v>
      </c>
      <c r="N124" s="46" t="s">
        <v>313</v>
      </c>
      <c r="O124" s="47" t="s">
        <v>316</v>
      </c>
      <c r="P124" s="48">
        <v>0.2</v>
      </c>
      <c r="Q124" s="46" t="s">
        <v>317</v>
      </c>
      <c r="R124" s="47" t="s">
        <v>316</v>
      </c>
      <c r="S124" s="48">
        <v>0.2</v>
      </c>
      <c r="T124" s="46" t="s">
        <v>317</v>
      </c>
      <c r="U124" s="47" t="s">
        <v>316</v>
      </c>
      <c r="V124" s="48">
        <v>0.3</v>
      </c>
      <c r="W124" s="46" t="s">
        <v>318</v>
      </c>
      <c r="X124" s="47" t="s">
        <v>2466</v>
      </c>
      <c r="Y124" s="48">
        <v>0.2</v>
      </c>
      <c r="Z124" s="49" t="s">
        <v>319</v>
      </c>
      <c r="AA124" s="50" t="s">
        <v>316</v>
      </c>
      <c r="AB124" s="51">
        <v>0.3</v>
      </c>
    </row>
    <row r="125" spans="1:28" ht="13.5" customHeight="1">
      <c r="A125" s="27"/>
      <c r="B125" s="44"/>
      <c r="C125" s="36"/>
      <c r="D125" s="6"/>
      <c r="E125" s="46" t="s">
        <v>317</v>
      </c>
      <c r="F125" s="47" t="s">
        <v>320</v>
      </c>
      <c r="G125" s="48">
        <v>0.6</v>
      </c>
      <c r="H125" s="46" t="s">
        <v>317</v>
      </c>
      <c r="I125" s="47" t="s">
        <v>320</v>
      </c>
      <c r="J125" s="48">
        <v>0.7</v>
      </c>
      <c r="K125" s="46" t="s">
        <v>317</v>
      </c>
      <c r="L125" s="47" t="s">
        <v>320</v>
      </c>
      <c r="M125" s="48">
        <v>0.8</v>
      </c>
      <c r="N125" s="46" t="s">
        <v>317</v>
      </c>
      <c r="O125" s="47" t="s">
        <v>320</v>
      </c>
      <c r="P125" s="48">
        <v>0.6</v>
      </c>
      <c r="Q125" s="46" t="s">
        <v>321</v>
      </c>
      <c r="R125" s="47" t="s">
        <v>320</v>
      </c>
      <c r="S125" s="48">
        <v>0.8</v>
      </c>
      <c r="T125" s="46" t="s">
        <v>321</v>
      </c>
      <c r="U125" s="47" t="s">
        <v>320</v>
      </c>
      <c r="V125" s="48">
        <v>1.1000000000000001</v>
      </c>
      <c r="W125" s="46" t="s">
        <v>322</v>
      </c>
      <c r="X125" s="47" t="s">
        <v>2467</v>
      </c>
      <c r="Y125" s="48">
        <v>0.8</v>
      </c>
      <c r="Z125" s="49" t="s">
        <v>323</v>
      </c>
      <c r="AA125" s="50" t="s">
        <v>320</v>
      </c>
      <c r="AB125" s="51">
        <v>1.5</v>
      </c>
    </row>
    <row r="126" spans="1:28" ht="13.5" customHeight="1">
      <c r="A126" s="27"/>
      <c r="B126" s="44"/>
      <c r="C126" s="36"/>
      <c r="D126" s="6"/>
      <c r="E126" s="46" t="s">
        <v>321</v>
      </c>
      <c r="F126" s="47" t="s">
        <v>324</v>
      </c>
      <c r="G126" s="48">
        <v>0.2</v>
      </c>
      <c r="H126" s="46" t="s">
        <v>321</v>
      </c>
      <c r="I126" s="47" t="s">
        <v>324</v>
      </c>
      <c r="J126" s="48">
        <v>0.2</v>
      </c>
      <c r="K126" s="46" t="s">
        <v>321</v>
      </c>
      <c r="L126" s="47" t="s">
        <v>324</v>
      </c>
      <c r="M126" s="48">
        <v>0.2</v>
      </c>
      <c r="N126" s="46" t="s">
        <v>321</v>
      </c>
      <c r="O126" s="47" t="s">
        <v>324</v>
      </c>
      <c r="P126" s="48">
        <v>0.2</v>
      </c>
      <c r="Q126" s="46" t="s">
        <v>325</v>
      </c>
      <c r="R126" s="47" t="s">
        <v>324</v>
      </c>
      <c r="S126" s="48">
        <v>0.3</v>
      </c>
      <c r="T126" s="46" t="s">
        <v>325</v>
      </c>
      <c r="U126" s="47" t="s">
        <v>324</v>
      </c>
      <c r="V126" s="48">
        <v>0.2</v>
      </c>
      <c r="W126" s="46" t="s">
        <v>326</v>
      </c>
      <c r="X126" s="47" t="s">
        <v>2468</v>
      </c>
      <c r="Y126" s="48">
        <v>0.4</v>
      </c>
      <c r="Z126" s="49" t="s">
        <v>327</v>
      </c>
      <c r="AA126" s="50" t="s">
        <v>324</v>
      </c>
      <c r="AB126" s="51">
        <v>0.3</v>
      </c>
    </row>
    <row r="127" spans="1:28" ht="13.5" customHeight="1">
      <c r="A127" s="27"/>
      <c r="B127" s="44"/>
      <c r="C127" s="36"/>
      <c r="D127" s="6"/>
      <c r="E127" s="46" t="s">
        <v>325</v>
      </c>
      <c r="F127" s="47" t="s">
        <v>328</v>
      </c>
      <c r="G127" s="48">
        <v>0.3</v>
      </c>
      <c r="H127" s="46" t="s">
        <v>325</v>
      </c>
      <c r="I127" s="47" t="s">
        <v>328</v>
      </c>
      <c r="J127" s="48">
        <v>0.3</v>
      </c>
      <c r="K127" s="46" t="s">
        <v>325</v>
      </c>
      <c r="L127" s="47" t="s">
        <v>328</v>
      </c>
      <c r="M127" s="48">
        <v>0.3</v>
      </c>
      <c r="N127" s="46" t="s">
        <v>325</v>
      </c>
      <c r="O127" s="47" t="s">
        <v>328</v>
      </c>
      <c r="P127" s="48">
        <v>0.3</v>
      </c>
      <c r="Q127" s="46" t="s">
        <v>329</v>
      </c>
      <c r="R127" s="47" t="s">
        <v>328</v>
      </c>
      <c r="S127" s="48">
        <v>0.3</v>
      </c>
      <c r="T127" s="46" t="s">
        <v>329</v>
      </c>
      <c r="U127" s="47" t="s">
        <v>328</v>
      </c>
      <c r="V127" s="48">
        <v>0.3</v>
      </c>
      <c r="W127" s="46" t="s">
        <v>330</v>
      </c>
      <c r="X127" s="47" t="s">
        <v>2469</v>
      </c>
      <c r="Y127" s="48">
        <v>0.3</v>
      </c>
      <c r="Z127" s="49" t="s">
        <v>331</v>
      </c>
      <c r="AA127" s="50" t="s">
        <v>328</v>
      </c>
      <c r="AB127" s="51">
        <v>0.3</v>
      </c>
    </row>
    <row r="128" spans="1:28" ht="13.5" customHeight="1">
      <c r="A128" s="27"/>
      <c r="B128" s="44"/>
      <c r="C128" s="36"/>
      <c r="D128" s="6"/>
      <c r="E128" s="46" t="s">
        <v>329</v>
      </c>
      <c r="F128" s="47" t="s">
        <v>332</v>
      </c>
      <c r="G128" s="48">
        <v>0.6</v>
      </c>
      <c r="H128" s="46" t="s">
        <v>329</v>
      </c>
      <c r="I128" s="47" t="s">
        <v>332</v>
      </c>
      <c r="J128" s="48">
        <v>0.7</v>
      </c>
      <c r="K128" s="46" t="s">
        <v>329</v>
      </c>
      <c r="L128" s="47" t="s">
        <v>332</v>
      </c>
      <c r="M128" s="48">
        <v>0.6</v>
      </c>
      <c r="N128" s="46" t="s">
        <v>329</v>
      </c>
      <c r="O128" s="47" t="s">
        <v>332</v>
      </c>
      <c r="P128" s="48">
        <v>0.7</v>
      </c>
      <c r="Q128" s="46" t="s">
        <v>333</v>
      </c>
      <c r="R128" s="47" t="s">
        <v>332</v>
      </c>
      <c r="S128" s="48">
        <v>0.7</v>
      </c>
      <c r="T128" s="46" t="s">
        <v>333</v>
      </c>
      <c r="U128" s="47" t="s">
        <v>332</v>
      </c>
      <c r="V128" s="48">
        <v>0.7</v>
      </c>
      <c r="W128" s="46" t="s">
        <v>334</v>
      </c>
      <c r="X128" s="47" t="s">
        <v>2470</v>
      </c>
      <c r="Y128" s="48">
        <v>1</v>
      </c>
      <c r="Z128" s="49" t="s">
        <v>335</v>
      </c>
      <c r="AA128" s="50" t="s">
        <v>332</v>
      </c>
      <c r="AB128" s="51">
        <v>1.1000000000000001</v>
      </c>
    </row>
    <row r="129" spans="1:28" ht="13.5" customHeight="1">
      <c r="A129" s="27"/>
      <c r="B129" s="44"/>
      <c r="C129" s="36"/>
      <c r="D129" s="6"/>
      <c r="E129" s="46" t="s">
        <v>333</v>
      </c>
      <c r="F129" s="47" t="s">
        <v>336</v>
      </c>
      <c r="G129" s="48">
        <v>1</v>
      </c>
      <c r="H129" s="46" t="s">
        <v>333</v>
      </c>
      <c r="I129" s="47" t="s">
        <v>336</v>
      </c>
      <c r="J129" s="48">
        <v>1.3</v>
      </c>
      <c r="K129" s="46" t="s">
        <v>333</v>
      </c>
      <c r="L129" s="47" t="s">
        <v>336</v>
      </c>
      <c r="M129" s="48">
        <v>0.9</v>
      </c>
      <c r="N129" s="46" t="s">
        <v>333</v>
      </c>
      <c r="O129" s="47" t="s">
        <v>336</v>
      </c>
      <c r="P129" s="48">
        <v>0.9</v>
      </c>
      <c r="Q129" s="46" t="s">
        <v>337</v>
      </c>
      <c r="R129" s="47" t="s">
        <v>336</v>
      </c>
      <c r="S129" s="48">
        <v>0.8</v>
      </c>
      <c r="T129" s="46" t="s">
        <v>337</v>
      </c>
      <c r="U129" s="47" t="s">
        <v>336</v>
      </c>
      <c r="V129" s="48">
        <v>0.8</v>
      </c>
      <c r="W129" s="46" t="s">
        <v>338</v>
      </c>
      <c r="X129" s="47" t="s">
        <v>2471</v>
      </c>
      <c r="Y129" s="48">
        <v>0.8</v>
      </c>
      <c r="Z129" s="49" t="s">
        <v>339</v>
      </c>
      <c r="AA129" s="50" t="s">
        <v>336</v>
      </c>
      <c r="AB129" s="51">
        <v>0.6</v>
      </c>
    </row>
    <row r="130" spans="1:28" ht="13.5" customHeight="1">
      <c r="A130" s="27"/>
      <c r="B130" s="44"/>
      <c r="C130" s="36"/>
      <c r="D130" s="6"/>
      <c r="E130" s="46" t="s">
        <v>337</v>
      </c>
      <c r="F130" s="47" t="s">
        <v>340</v>
      </c>
      <c r="G130" s="48">
        <v>0.1</v>
      </c>
      <c r="H130" s="46" t="s">
        <v>337</v>
      </c>
      <c r="I130" s="47" t="s">
        <v>340</v>
      </c>
      <c r="J130" s="48">
        <v>0.2</v>
      </c>
      <c r="K130" s="46" t="s">
        <v>337</v>
      </c>
      <c r="L130" s="47" t="s">
        <v>340</v>
      </c>
      <c r="M130" s="48">
        <v>0.2</v>
      </c>
      <c r="N130" s="46" t="s">
        <v>337</v>
      </c>
      <c r="O130" s="47" t="s">
        <v>340</v>
      </c>
      <c r="P130" s="48">
        <v>0.2</v>
      </c>
      <c r="Q130" s="46" t="s">
        <v>341</v>
      </c>
      <c r="R130" s="47" t="s">
        <v>340</v>
      </c>
      <c r="S130" s="48">
        <v>0.2</v>
      </c>
      <c r="T130" s="46" t="s">
        <v>341</v>
      </c>
      <c r="U130" s="47" t="s">
        <v>340</v>
      </c>
      <c r="V130" s="48">
        <v>0.2</v>
      </c>
      <c r="W130" s="46" t="s">
        <v>342</v>
      </c>
      <c r="X130" s="47" t="s">
        <v>2472</v>
      </c>
      <c r="Y130" s="48">
        <v>0.2</v>
      </c>
      <c r="Z130" s="49" t="s">
        <v>343</v>
      </c>
      <c r="AA130" s="50" t="s">
        <v>340</v>
      </c>
      <c r="AB130" s="51">
        <v>0.3</v>
      </c>
    </row>
    <row r="131" spans="1:28" ht="13.5" customHeight="1">
      <c r="A131" s="27"/>
      <c r="B131" s="44"/>
      <c r="C131" s="36"/>
      <c r="D131" s="6"/>
      <c r="E131" s="46" t="s">
        <v>341</v>
      </c>
      <c r="F131" s="47" t="s">
        <v>344</v>
      </c>
      <c r="G131" s="48">
        <v>0.5</v>
      </c>
      <c r="H131" s="46" t="s">
        <v>341</v>
      </c>
      <c r="I131" s="47" t="s">
        <v>344</v>
      </c>
      <c r="J131" s="48">
        <v>0.5</v>
      </c>
      <c r="K131" s="46" t="s">
        <v>341</v>
      </c>
      <c r="L131" s="47" t="s">
        <v>344</v>
      </c>
      <c r="M131" s="48">
        <v>0.6</v>
      </c>
      <c r="N131" s="46" t="s">
        <v>341</v>
      </c>
      <c r="O131" s="47" t="s">
        <v>344</v>
      </c>
      <c r="P131" s="48">
        <v>0.6</v>
      </c>
      <c r="Q131" s="46" t="s">
        <v>345</v>
      </c>
      <c r="R131" s="47" t="s">
        <v>344</v>
      </c>
      <c r="S131" s="48">
        <v>0.6</v>
      </c>
      <c r="T131" s="46" t="s">
        <v>345</v>
      </c>
      <c r="U131" s="47" t="s">
        <v>344</v>
      </c>
      <c r="V131" s="48">
        <v>0.6</v>
      </c>
      <c r="W131" s="46" t="s">
        <v>346</v>
      </c>
      <c r="X131" s="47" t="s">
        <v>2473</v>
      </c>
      <c r="Y131" s="48">
        <v>0.6</v>
      </c>
      <c r="Z131" s="49" t="s">
        <v>347</v>
      </c>
      <c r="AA131" s="50" t="s">
        <v>344</v>
      </c>
      <c r="AB131" s="51">
        <v>0.8</v>
      </c>
    </row>
    <row r="132" spans="1:28" ht="13.5" customHeight="1">
      <c r="A132" s="27"/>
      <c r="B132" s="44"/>
      <c r="C132" s="36"/>
      <c r="D132" s="6"/>
      <c r="E132" s="46" t="s">
        <v>345</v>
      </c>
      <c r="F132" s="47" t="s">
        <v>348</v>
      </c>
      <c r="G132" s="48">
        <v>0.9</v>
      </c>
      <c r="H132" s="46" t="s">
        <v>345</v>
      </c>
      <c r="I132" s="47" t="s">
        <v>348</v>
      </c>
      <c r="J132" s="48">
        <v>1.1000000000000001</v>
      </c>
      <c r="K132" s="46" t="s">
        <v>345</v>
      </c>
      <c r="L132" s="47" t="s">
        <v>348</v>
      </c>
      <c r="M132" s="48">
        <v>1.1000000000000001</v>
      </c>
      <c r="N132" s="46" t="s">
        <v>345</v>
      </c>
      <c r="O132" s="47" t="s">
        <v>348</v>
      </c>
      <c r="P132" s="48">
        <v>1.1000000000000001</v>
      </c>
      <c r="Q132" s="46" t="s">
        <v>349</v>
      </c>
      <c r="R132" s="47" t="s">
        <v>348</v>
      </c>
      <c r="S132" s="48">
        <v>1</v>
      </c>
      <c r="T132" s="46" t="s">
        <v>349</v>
      </c>
      <c r="U132" s="47" t="s">
        <v>348</v>
      </c>
      <c r="V132" s="48">
        <v>1.1000000000000001</v>
      </c>
      <c r="W132" s="46" t="s">
        <v>350</v>
      </c>
      <c r="X132" s="47" t="s">
        <v>2474</v>
      </c>
      <c r="Y132" s="48">
        <v>1.3</v>
      </c>
      <c r="Z132" s="49" t="s">
        <v>351</v>
      </c>
      <c r="AA132" s="50" t="s">
        <v>348</v>
      </c>
      <c r="AB132" s="51">
        <v>1.1000000000000001</v>
      </c>
    </row>
    <row r="133" spans="1:28" ht="13.5" customHeight="1">
      <c r="A133" s="27"/>
      <c r="B133" s="44"/>
      <c r="C133" s="36"/>
      <c r="D133" s="6"/>
      <c r="E133" s="46" t="s">
        <v>349</v>
      </c>
      <c r="F133" s="47" t="s">
        <v>352</v>
      </c>
      <c r="G133" s="48">
        <v>0.6</v>
      </c>
      <c r="H133" s="46" t="s">
        <v>349</v>
      </c>
      <c r="I133" s="47" t="s">
        <v>352</v>
      </c>
      <c r="J133" s="48">
        <v>0.7</v>
      </c>
      <c r="K133" s="46" t="s">
        <v>349</v>
      </c>
      <c r="L133" s="47" t="s">
        <v>352</v>
      </c>
      <c r="M133" s="48">
        <v>0.6</v>
      </c>
      <c r="N133" s="46" t="s">
        <v>349</v>
      </c>
      <c r="O133" s="47" t="s">
        <v>352</v>
      </c>
      <c r="P133" s="48">
        <v>0.6</v>
      </c>
      <c r="Q133" s="46" t="s">
        <v>353</v>
      </c>
      <c r="R133" s="47" t="s">
        <v>352</v>
      </c>
      <c r="S133" s="48">
        <v>0.7</v>
      </c>
      <c r="T133" s="46" t="s">
        <v>353</v>
      </c>
      <c r="U133" s="47" t="s">
        <v>352</v>
      </c>
      <c r="V133" s="48">
        <v>0.8</v>
      </c>
      <c r="W133" s="46" t="s">
        <v>354</v>
      </c>
      <c r="X133" s="47" t="s">
        <v>2475</v>
      </c>
      <c r="Y133" s="48">
        <v>0.7</v>
      </c>
      <c r="Z133" s="49" t="s">
        <v>355</v>
      </c>
      <c r="AA133" s="50" t="s">
        <v>352</v>
      </c>
      <c r="AB133" s="51">
        <v>1</v>
      </c>
    </row>
    <row r="134" spans="1:28" ht="13.5" customHeight="1">
      <c r="A134" s="27"/>
      <c r="B134" s="44"/>
      <c r="C134" s="36"/>
      <c r="D134" s="6"/>
      <c r="E134" s="46" t="s">
        <v>353</v>
      </c>
      <c r="F134" s="47" t="s">
        <v>356</v>
      </c>
      <c r="G134" s="48">
        <v>0.6</v>
      </c>
      <c r="H134" s="46" t="s">
        <v>353</v>
      </c>
      <c r="I134" s="47" t="s">
        <v>356</v>
      </c>
      <c r="J134" s="48">
        <v>0.8</v>
      </c>
      <c r="K134" s="46" t="s">
        <v>353</v>
      </c>
      <c r="L134" s="47" t="s">
        <v>356</v>
      </c>
      <c r="M134" s="48">
        <v>0.7</v>
      </c>
      <c r="N134" s="46" t="s">
        <v>353</v>
      </c>
      <c r="O134" s="47" t="s">
        <v>356</v>
      </c>
      <c r="P134" s="48">
        <v>0.7</v>
      </c>
      <c r="Q134" s="46" t="s">
        <v>357</v>
      </c>
      <c r="R134" s="47" t="s">
        <v>356</v>
      </c>
      <c r="S134" s="48">
        <v>0.8</v>
      </c>
      <c r="T134" s="46" t="s">
        <v>357</v>
      </c>
      <c r="U134" s="47" t="s">
        <v>356</v>
      </c>
      <c r="V134" s="48">
        <v>0.8</v>
      </c>
      <c r="W134" s="46" t="s">
        <v>358</v>
      </c>
      <c r="X134" s="47" t="s">
        <v>2476</v>
      </c>
      <c r="Y134" s="48">
        <v>0.7</v>
      </c>
      <c r="Z134" s="49" t="s">
        <v>359</v>
      </c>
      <c r="AA134" s="50" t="s">
        <v>356</v>
      </c>
      <c r="AB134" s="51">
        <v>0.9</v>
      </c>
    </row>
    <row r="135" spans="1:28" ht="13.5" customHeight="1">
      <c r="A135" s="27"/>
      <c r="B135" s="44"/>
      <c r="C135" s="36"/>
      <c r="D135" s="6"/>
      <c r="E135" s="46" t="s">
        <v>357</v>
      </c>
      <c r="F135" s="47" t="s">
        <v>360</v>
      </c>
      <c r="G135" s="48">
        <v>0.5</v>
      </c>
      <c r="H135" s="46" t="s">
        <v>357</v>
      </c>
      <c r="I135" s="47" t="s">
        <v>360</v>
      </c>
      <c r="J135" s="48">
        <v>0.6</v>
      </c>
      <c r="K135" s="46" t="s">
        <v>357</v>
      </c>
      <c r="L135" s="47" t="s">
        <v>360</v>
      </c>
      <c r="M135" s="48">
        <v>0.5</v>
      </c>
      <c r="N135" s="46" t="s">
        <v>357</v>
      </c>
      <c r="O135" s="47" t="s">
        <v>360</v>
      </c>
      <c r="P135" s="48">
        <v>0.5</v>
      </c>
      <c r="Q135" s="46" t="s">
        <v>361</v>
      </c>
      <c r="R135" s="47" t="s">
        <v>360</v>
      </c>
      <c r="S135" s="48">
        <v>0.6</v>
      </c>
      <c r="T135" s="46" t="s">
        <v>361</v>
      </c>
      <c r="U135" s="47" t="s">
        <v>360</v>
      </c>
      <c r="V135" s="48">
        <v>0.6</v>
      </c>
      <c r="W135" s="46" t="s">
        <v>362</v>
      </c>
      <c r="X135" s="47" t="s">
        <v>2477</v>
      </c>
      <c r="Y135" s="48">
        <v>0.5</v>
      </c>
      <c r="Z135" s="49" t="s">
        <v>363</v>
      </c>
      <c r="AA135" s="50" t="s">
        <v>360</v>
      </c>
      <c r="AB135" s="51">
        <v>0.6</v>
      </c>
    </row>
    <row r="136" spans="1:28" ht="13.5" customHeight="1">
      <c r="A136" s="27"/>
      <c r="B136" s="44"/>
      <c r="C136" s="36"/>
      <c r="D136" s="6"/>
      <c r="E136" s="46" t="s">
        <v>361</v>
      </c>
      <c r="F136" s="47" t="s">
        <v>364</v>
      </c>
      <c r="G136" s="48">
        <v>0.2</v>
      </c>
      <c r="H136" s="46" t="s">
        <v>361</v>
      </c>
      <c r="I136" s="47" t="s">
        <v>364</v>
      </c>
      <c r="J136" s="48">
        <v>0.2</v>
      </c>
      <c r="K136" s="46" t="s">
        <v>361</v>
      </c>
      <c r="L136" s="47" t="s">
        <v>364</v>
      </c>
      <c r="M136" s="48">
        <v>0.2</v>
      </c>
      <c r="N136" s="46" t="s">
        <v>361</v>
      </c>
      <c r="O136" s="47" t="s">
        <v>364</v>
      </c>
      <c r="P136" s="48">
        <v>0.2</v>
      </c>
      <c r="Q136" s="46" t="s">
        <v>365</v>
      </c>
      <c r="R136" s="47" t="s">
        <v>364</v>
      </c>
      <c r="S136" s="48">
        <v>0.2</v>
      </c>
      <c r="T136" s="46" t="s">
        <v>365</v>
      </c>
      <c r="U136" s="47" t="s">
        <v>364</v>
      </c>
      <c r="V136" s="48">
        <v>0.2</v>
      </c>
      <c r="W136" s="46" t="s">
        <v>366</v>
      </c>
      <c r="X136" s="47" t="s">
        <v>2478</v>
      </c>
      <c r="Y136" s="48">
        <v>0.1</v>
      </c>
      <c r="Z136" s="49" t="s">
        <v>367</v>
      </c>
      <c r="AA136" s="50" t="s">
        <v>364</v>
      </c>
      <c r="AB136" s="51">
        <v>0.1</v>
      </c>
    </row>
    <row r="137" spans="1:28" ht="13.5" customHeight="1">
      <c r="A137" s="27"/>
      <c r="B137" s="44"/>
      <c r="C137" s="36"/>
      <c r="D137" s="6"/>
      <c r="E137" s="46" t="s">
        <v>365</v>
      </c>
      <c r="F137" s="47" t="s">
        <v>368</v>
      </c>
      <c r="G137" s="48">
        <v>1.3</v>
      </c>
      <c r="H137" s="46" t="s">
        <v>365</v>
      </c>
      <c r="I137" s="47" t="s">
        <v>368</v>
      </c>
      <c r="J137" s="48">
        <v>1.5</v>
      </c>
      <c r="K137" s="46" t="s">
        <v>365</v>
      </c>
      <c r="L137" s="47" t="s">
        <v>368</v>
      </c>
      <c r="M137" s="48">
        <v>1.3</v>
      </c>
      <c r="N137" s="46" t="s">
        <v>365</v>
      </c>
      <c r="O137" s="47" t="s">
        <v>368</v>
      </c>
      <c r="P137" s="48">
        <v>1.3</v>
      </c>
      <c r="Q137" s="46" t="s">
        <v>369</v>
      </c>
      <c r="R137" s="47" t="s">
        <v>368</v>
      </c>
      <c r="S137" s="48">
        <v>1.2</v>
      </c>
      <c r="T137" s="46" t="s">
        <v>369</v>
      </c>
      <c r="U137" s="47" t="s">
        <v>368</v>
      </c>
      <c r="V137" s="48">
        <v>1.1000000000000001</v>
      </c>
      <c r="W137" s="46" t="s">
        <v>370</v>
      </c>
      <c r="X137" s="47" t="s">
        <v>2479</v>
      </c>
      <c r="Y137" s="48">
        <v>1.3</v>
      </c>
      <c r="Z137" s="49" t="s">
        <v>371</v>
      </c>
      <c r="AA137" s="50" t="s">
        <v>368</v>
      </c>
      <c r="AB137" s="51">
        <v>0.8</v>
      </c>
    </row>
    <row r="138" spans="1:28" ht="13.5" customHeight="1">
      <c r="A138" s="27"/>
      <c r="B138" s="44"/>
      <c r="C138" s="36"/>
      <c r="D138" s="6"/>
      <c r="E138" s="46" t="s">
        <v>369</v>
      </c>
      <c r="F138" s="47" t="s">
        <v>372</v>
      </c>
      <c r="G138" s="48">
        <v>0.9</v>
      </c>
      <c r="H138" s="46" t="s">
        <v>369</v>
      </c>
      <c r="I138" s="47" t="s">
        <v>372</v>
      </c>
      <c r="J138" s="48">
        <v>1.1000000000000001</v>
      </c>
      <c r="K138" s="46" t="s">
        <v>369</v>
      </c>
      <c r="L138" s="47" t="s">
        <v>372</v>
      </c>
      <c r="M138" s="48">
        <v>1</v>
      </c>
      <c r="N138" s="46" t="s">
        <v>369</v>
      </c>
      <c r="O138" s="47" t="s">
        <v>372</v>
      </c>
      <c r="P138" s="48">
        <v>0.9</v>
      </c>
      <c r="Q138" s="46" t="s">
        <v>373</v>
      </c>
      <c r="R138" s="47" t="s">
        <v>372</v>
      </c>
      <c r="S138" s="48">
        <v>1</v>
      </c>
      <c r="T138" s="46" t="s">
        <v>373</v>
      </c>
      <c r="U138" s="47" t="s">
        <v>372</v>
      </c>
      <c r="V138" s="48">
        <v>1.1000000000000001</v>
      </c>
      <c r="W138" s="46" t="s">
        <v>374</v>
      </c>
      <c r="X138" s="47" t="s">
        <v>2480</v>
      </c>
      <c r="Y138" s="48">
        <v>0.9</v>
      </c>
      <c r="Z138" s="49" t="s">
        <v>375</v>
      </c>
      <c r="AA138" s="50" t="s">
        <v>372</v>
      </c>
      <c r="AB138" s="51">
        <v>1.3</v>
      </c>
    </row>
    <row r="139" spans="1:28" ht="13.5" customHeight="1">
      <c r="A139" s="27"/>
      <c r="B139" s="44"/>
      <c r="C139" s="36"/>
      <c r="D139" s="6"/>
      <c r="E139" s="46" t="s">
        <v>373</v>
      </c>
      <c r="F139" s="47" t="s">
        <v>376</v>
      </c>
      <c r="G139" s="48">
        <v>0.7</v>
      </c>
      <c r="H139" s="46" t="s">
        <v>373</v>
      </c>
      <c r="I139" s="47" t="s">
        <v>376</v>
      </c>
      <c r="J139" s="48">
        <v>1</v>
      </c>
      <c r="K139" s="46" t="s">
        <v>373</v>
      </c>
      <c r="L139" s="47" t="s">
        <v>376</v>
      </c>
      <c r="M139" s="48">
        <v>1</v>
      </c>
      <c r="N139" s="46" t="s">
        <v>373</v>
      </c>
      <c r="O139" s="47" t="s">
        <v>376</v>
      </c>
      <c r="P139" s="48">
        <v>0.9</v>
      </c>
      <c r="Q139" s="46" t="s">
        <v>377</v>
      </c>
      <c r="R139" s="47" t="s">
        <v>376</v>
      </c>
      <c r="S139" s="48">
        <v>0.8</v>
      </c>
      <c r="T139" s="46" t="s">
        <v>377</v>
      </c>
      <c r="U139" s="47" t="s">
        <v>376</v>
      </c>
      <c r="V139" s="48">
        <v>0.9</v>
      </c>
      <c r="W139" s="46" t="s">
        <v>378</v>
      </c>
      <c r="X139" s="47" t="s">
        <v>2481</v>
      </c>
      <c r="Y139" s="48">
        <v>0.8</v>
      </c>
      <c r="Z139" s="49" t="s">
        <v>379</v>
      </c>
      <c r="AA139" s="50" t="s">
        <v>376</v>
      </c>
      <c r="AB139" s="51">
        <v>0.8</v>
      </c>
    </row>
    <row r="140" spans="1:28" ht="13.5" customHeight="1">
      <c r="A140" s="27"/>
      <c r="B140" s="44"/>
      <c r="C140" s="44"/>
      <c r="D140" s="6"/>
      <c r="E140" s="46" t="s">
        <v>377</v>
      </c>
      <c r="F140" s="47" t="s">
        <v>380</v>
      </c>
      <c r="G140" s="48">
        <v>1.3</v>
      </c>
      <c r="H140" s="46" t="s">
        <v>377</v>
      </c>
      <c r="I140" s="47" t="s">
        <v>380</v>
      </c>
      <c r="J140" s="48">
        <v>1.2</v>
      </c>
      <c r="K140" s="46" t="s">
        <v>377</v>
      </c>
      <c r="L140" s="47" t="s">
        <v>380</v>
      </c>
      <c r="M140" s="48">
        <v>1.4</v>
      </c>
      <c r="N140" s="46" t="s">
        <v>377</v>
      </c>
      <c r="O140" s="47" t="s">
        <v>380</v>
      </c>
      <c r="P140" s="48">
        <v>1.2</v>
      </c>
      <c r="Q140" s="46" t="s">
        <v>381</v>
      </c>
      <c r="R140" s="47" t="s">
        <v>380</v>
      </c>
      <c r="S140" s="48">
        <v>1.4</v>
      </c>
      <c r="T140" s="46" t="s">
        <v>381</v>
      </c>
      <c r="U140" s="47" t="s">
        <v>380</v>
      </c>
      <c r="V140" s="48">
        <v>1.3</v>
      </c>
      <c r="W140" s="46" t="s">
        <v>382</v>
      </c>
      <c r="X140" s="47" t="s">
        <v>2482</v>
      </c>
      <c r="Y140" s="48">
        <v>1.4</v>
      </c>
      <c r="Z140" s="49" t="s">
        <v>383</v>
      </c>
      <c r="AA140" s="50" t="s">
        <v>380</v>
      </c>
      <c r="AB140" s="51">
        <v>1.2</v>
      </c>
    </row>
    <row r="141" spans="1:28" ht="13.5" customHeight="1">
      <c r="A141" s="27"/>
      <c r="B141" s="44"/>
      <c r="C141" s="44"/>
      <c r="D141" s="6"/>
      <c r="E141" s="46" t="s">
        <v>381</v>
      </c>
      <c r="F141" s="47" t="s">
        <v>384</v>
      </c>
      <c r="G141" s="48">
        <v>0.2</v>
      </c>
      <c r="H141" s="46" t="s">
        <v>381</v>
      </c>
      <c r="I141" s="47" t="s">
        <v>384</v>
      </c>
      <c r="J141" s="48">
        <v>0.3</v>
      </c>
      <c r="K141" s="46" t="s">
        <v>381</v>
      </c>
      <c r="L141" s="47" t="s">
        <v>384</v>
      </c>
      <c r="M141" s="48">
        <v>0.19999999999999998</v>
      </c>
      <c r="N141" s="46" t="s">
        <v>381</v>
      </c>
      <c r="O141" s="47" t="s">
        <v>384</v>
      </c>
      <c r="P141" s="48">
        <v>0.2</v>
      </c>
      <c r="Q141" s="46" t="s">
        <v>385</v>
      </c>
      <c r="R141" s="47" t="s">
        <v>384</v>
      </c>
      <c r="S141" s="48">
        <v>0.4</v>
      </c>
      <c r="T141" s="46" t="s">
        <v>385</v>
      </c>
      <c r="U141" s="47" t="s">
        <v>384</v>
      </c>
      <c r="V141" s="48">
        <v>0.3</v>
      </c>
      <c r="W141" s="46" t="s">
        <v>386</v>
      </c>
      <c r="X141" s="47" t="s">
        <v>2483</v>
      </c>
      <c r="Y141" s="48">
        <v>0.2</v>
      </c>
      <c r="Z141" s="49"/>
      <c r="AA141" s="50"/>
      <c r="AB141" s="51"/>
    </row>
    <row r="142" spans="1:28" ht="13.5" customHeight="1">
      <c r="A142" s="27"/>
      <c r="B142" s="44"/>
      <c r="C142" s="44"/>
      <c r="D142" s="6"/>
      <c r="E142" s="46" t="s">
        <v>385</v>
      </c>
      <c r="F142" s="47" t="s">
        <v>387</v>
      </c>
      <c r="G142" s="48">
        <v>0.1</v>
      </c>
      <c r="H142" s="46" t="s">
        <v>385</v>
      </c>
      <c r="I142" s="47" t="s">
        <v>387</v>
      </c>
      <c r="J142" s="48">
        <v>0.1</v>
      </c>
      <c r="K142" s="46" t="s">
        <v>385</v>
      </c>
      <c r="L142" s="47" t="s">
        <v>387</v>
      </c>
      <c r="M142" s="48">
        <v>0.1</v>
      </c>
      <c r="N142" s="46" t="s">
        <v>385</v>
      </c>
      <c r="O142" s="47" t="s">
        <v>387</v>
      </c>
      <c r="P142" s="48">
        <v>0.2</v>
      </c>
      <c r="Q142" s="46" t="s">
        <v>388</v>
      </c>
      <c r="R142" s="47" t="s">
        <v>387</v>
      </c>
      <c r="S142" s="48">
        <v>0.2</v>
      </c>
      <c r="T142" s="46" t="s">
        <v>388</v>
      </c>
      <c r="U142" s="47" t="s">
        <v>387</v>
      </c>
      <c r="V142" s="48">
        <v>0.2</v>
      </c>
      <c r="W142" s="46" t="s">
        <v>389</v>
      </c>
      <c r="X142" s="47" t="s">
        <v>2484</v>
      </c>
      <c r="Y142" s="48">
        <v>0.1</v>
      </c>
      <c r="Z142" s="49" t="s">
        <v>390</v>
      </c>
      <c r="AA142" s="50" t="s">
        <v>387</v>
      </c>
      <c r="AB142" s="51">
        <v>0.2</v>
      </c>
    </row>
    <row r="143" spans="1:28" ht="13.5" customHeight="1">
      <c r="A143" s="27"/>
      <c r="B143" s="44"/>
      <c r="C143" s="36"/>
      <c r="D143" s="6"/>
      <c r="E143" s="46"/>
      <c r="F143" s="47"/>
      <c r="G143" s="48"/>
      <c r="H143" s="46"/>
      <c r="I143" s="47"/>
      <c r="J143" s="48"/>
      <c r="K143" s="46"/>
      <c r="L143" s="47"/>
      <c r="M143" s="48"/>
      <c r="N143" s="46"/>
      <c r="O143" s="47"/>
      <c r="P143" s="48"/>
      <c r="Q143" s="46" t="s">
        <v>391</v>
      </c>
      <c r="R143" s="47" t="s">
        <v>392</v>
      </c>
      <c r="S143" s="48">
        <v>0.3</v>
      </c>
      <c r="T143" s="46" t="s">
        <v>391</v>
      </c>
      <c r="U143" s="47" t="s">
        <v>392</v>
      </c>
      <c r="V143" s="48">
        <v>0.4</v>
      </c>
      <c r="W143" s="46" t="s">
        <v>393</v>
      </c>
      <c r="X143" s="47" t="s">
        <v>2485</v>
      </c>
      <c r="Y143" s="48">
        <v>0.2</v>
      </c>
      <c r="Z143" s="49"/>
      <c r="AA143" s="50"/>
      <c r="AB143" s="51"/>
    </row>
    <row r="144" spans="1:28" ht="13.5" customHeight="1">
      <c r="A144" s="27"/>
      <c r="B144" s="44"/>
      <c r="C144" s="36"/>
      <c r="D144" s="6"/>
      <c r="E144" s="46" t="s">
        <v>388</v>
      </c>
      <c r="F144" s="47" t="s">
        <v>2486</v>
      </c>
      <c r="G144" s="48">
        <v>0.6</v>
      </c>
      <c r="H144" s="46" t="s">
        <v>388</v>
      </c>
      <c r="I144" s="47" t="s">
        <v>2486</v>
      </c>
      <c r="J144" s="48">
        <v>0.7</v>
      </c>
      <c r="K144" s="46" t="s">
        <v>388</v>
      </c>
      <c r="L144" s="47" t="s">
        <v>2486</v>
      </c>
      <c r="M144" s="48">
        <v>0.6</v>
      </c>
      <c r="N144" s="46" t="s">
        <v>388</v>
      </c>
      <c r="O144" s="47" t="s">
        <v>2486</v>
      </c>
      <c r="P144" s="48">
        <v>0.6</v>
      </c>
      <c r="Q144" s="46"/>
      <c r="R144" s="47"/>
      <c r="S144" s="48"/>
      <c r="T144" s="46"/>
      <c r="U144" s="47"/>
      <c r="V144" s="48"/>
      <c r="W144" s="46"/>
      <c r="X144" s="47"/>
      <c r="Y144" s="48"/>
      <c r="Z144" s="49"/>
      <c r="AA144" s="50"/>
      <c r="AB144" s="51"/>
    </row>
    <row r="145" spans="1:28" ht="13.5" customHeight="1">
      <c r="A145" s="27"/>
      <c r="B145" s="44"/>
      <c r="C145" s="36"/>
      <c r="D145" s="6"/>
      <c r="E145" s="46" t="s">
        <v>391</v>
      </c>
      <c r="F145" s="47" t="s">
        <v>2487</v>
      </c>
      <c r="G145" s="48">
        <v>0.2</v>
      </c>
      <c r="H145" s="46" t="s">
        <v>391</v>
      </c>
      <c r="I145" s="47" t="s">
        <v>2487</v>
      </c>
      <c r="J145" s="48">
        <v>0.2</v>
      </c>
      <c r="K145" s="46" t="s">
        <v>391</v>
      </c>
      <c r="L145" s="47" t="s">
        <v>2487</v>
      </c>
      <c r="M145" s="48">
        <v>0.2</v>
      </c>
      <c r="N145" s="46" t="s">
        <v>391</v>
      </c>
      <c r="O145" s="47" t="s">
        <v>2487</v>
      </c>
      <c r="P145" s="48">
        <v>0.2</v>
      </c>
      <c r="Q145" s="46" t="s">
        <v>394</v>
      </c>
      <c r="R145" s="47" t="s">
        <v>395</v>
      </c>
      <c r="S145" s="48">
        <v>0.4</v>
      </c>
      <c r="T145" s="46" t="s">
        <v>394</v>
      </c>
      <c r="U145" s="47" t="s">
        <v>395</v>
      </c>
      <c r="V145" s="48">
        <v>0.3</v>
      </c>
      <c r="W145" s="46" t="s">
        <v>396</v>
      </c>
      <c r="X145" s="47" t="s">
        <v>2488</v>
      </c>
      <c r="Y145" s="48">
        <v>0.3</v>
      </c>
      <c r="Z145" s="49" t="s">
        <v>397</v>
      </c>
      <c r="AA145" s="50" t="s">
        <v>395</v>
      </c>
      <c r="AB145" s="51">
        <v>0.3</v>
      </c>
    </row>
    <row r="146" spans="1:28" ht="13.5" customHeight="1">
      <c r="A146" s="27"/>
      <c r="B146" s="44"/>
      <c r="C146" s="36"/>
      <c r="D146" s="6"/>
      <c r="E146" s="46" t="s">
        <v>394</v>
      </c>
      <c r="F146" s="47" t="s">
        <v>398</v>
      </c>
      <c r="G146" s="48">
        <v>0.5</v>
      </c>
      <c r="H146" s="46" t="s">
        <v>394</v>
      </c>
      <c r="I146" s="47" t="s">
        <v>398</v>
      </c>
      <c r="J146" s="48">
        <v>0.6</v>
      </c>
      <c r="K146" s="46" t="s">
        <v>394</v>
      </c>
      <c r="L146" s="47" t="s">
        <v>398</v>
      </c>
      <c r="M146" s="48">
        <v>0.6</v>
      </c>
      <c r="N146" s="46" t="s">
        <v>394</v>
      </c>
      <c r="O146" s="47" t="s">
        <v>398</v>
      </c>
      <c r="P146" s="48">
        <v>0.6</v>
      </c>
      <c r="Q146" s="46" t="s">
        <v>399</v>
      </c>
      <c r="R146" s="47" t="s">
        <v>398</v>
      </c>
      <c r="S146" s="48">
        <v>0.6</v>
      </c>
      <c r="T146" s="46" t="s">
        <v>399</v>
      </c>
      <c r="U146" s="47" t="s">
        <v>398</v>
      </c>
      <c r="V146" s="48">
        <v>0.6</v>
      </c>
      <c r="W146" s="46" t="s">
        <v>400</v>
      </c>
      <c r="X146" s="47" t="s">
        <v>2489</v>
      </c>
      <c r="Y146" s="48">
        <v>0.7</v>
      </c>
      <c r="Z146" s="49" t="s">
        <v>401</v>
      </c>
      <c r="AA146" s="50" t="s">
        <v>398</v>
      </c>
      <c r="AB146" s="51">
        <v>0.9</v>
      </c>
    </row>
    <row r="147" spans="1:28" ht="13.5" customHeight="1">
      <c r="A147" s="27"/>
      <c r="B147" s="44"/>
      <c r="C147" s="36"/>
      <c r="D147" s="6"/>
      <c r="E147" s="46" t="s">
        <v>399</v>
      </c>
      <c r="F147" s="47" t="s">
        <v>402</v>
      </c>
      <c r="G147" s="48">
        <v>0.5</v>
      </c>
      <c r="H147" s="46" t="s">
        <v>399</v>
      </c>
      <c r="I147" s="47" t="s">
        <v>402</v>
      </c>
      <c r="J147" s="48">
        <v>0.6</v>
      </c>
      <c r="K147" s="46" t="s">
        <v>399</v>
      </c>
      <c r="L147" s="47" t="s">
        <v>402</v>
      </c>
      <c r="M147" s="48">
        <v>0.6</v>
      </c>
      <c r="N147" s="46" t="s">
        <v>399</v>
      </c>
      <c r="O147" s="47" t="s">
        <v>402</v>
      </c>
      <c r="P147" s="48">
        <v>0.6</v>
      </c>
      <c r="Q147" s="46" t="s">
        <v>403</v>
      </c>
      <c r="R147" s="47" t="s">
        <v>402</v>
      </c>
      <c r="S147" s="48">
        <v>0.6</v>
      </c>
      <c r="T147" s="46" t="s">
        <v>403</v>
      </c>
      <c r="U147" s="47" t="s">
        <v>402</v>
      </c>
      <c r="V147" s="48">
        <v>0.6</v>
      </c>
      <c r="W147" s="46" t="s">
        <v>404</v>
      </c>
      <c r="X147" s="47" t="s">
        <v>2490</v>
      </c>
      <c r="Y147" s="48">
        <v>0.7</v>
      </c>
      <c r="Z147" s="49" t="s">
        <v>405</v>
      </c>
      <c r="AA147" s="50" t="s">
        <v>402</v>
      </c>
      <c r="AB147" s="51">
        <v>0.8</v>
      </c>
    </row>
    <row r="148" spans="1:28" ht="13.5" customHeight="1">
      <c r="A148" s="27"/>
      <c r="B148" s="44"/>
      <c r="C148" s="36"/>
      <c r="D148" s="6"/>
      <c r="E148" s="46" t="s">
        <v>403</v>
      </c>
      <c r="F148" s="47" t="s">
        <v>406</v>
      </c>
      <c r="G148" s="48">
        <v>0.3</v>
      </c>
      <c r="H148" s="46" t="s">
        <v>403</v>
      </c>
      <c r="I148" s="47" t="s">
        <v>406</v>
      </c>
      <c r="J148" s="48">
        <v>0.3</v>
      </c>
      <c r="K148" s="46" t="s">
        <v>403</v>
      </c>
      <c r="L148" s="47" t="s">
        <v>406</v>
      </c>
      <c r="M148" s="48">
        <v>0.4</v>
      </c>
      <c r="N148" s="46" t="s">
        <v>403</v>
      </c>
      <c r="O148" s="47" t="s">
        <v>406</v>
      </c>
      <c r="P148" s="48">
        <v>0.4</v>
      </c>
      <c r="Q148" s="46" t="s">
        <v>407</v>
      </c>
      <c r="R148" s="47" t="s">
        <v>406</v>
      </c>
      <c r="S148" s="48">
        <v>0.4</v>
      </c>
      <c r="T148" s="46" t="s">
        <v>407</v>
      </c>
      <c r="U148" s="47" t="s">
        <v>406</v>
      </c>
      <c r="V148" s="48">
        <v>0.4</v>
      </c>
      <c r="W148" s="46" t="s">
        <v>408</v>
      </c>
      <c r="X148" s="47" t="s">
        <v>2491</v>
      </c>
      <c r="Y148" s="48">
        <v>0.4</v>
      </c>
      <c r="Z148" s="49" t="s">
        <v>409</v>
      </c>
      <c r="AA148" s="50" t="s">
        <v>406</v>
      </c>
      <c r="AB148" s="51">
        <v>0.6</v>
      </c>
    </row>
    <row r="149" spans="1:28" ht="13.5" customHeight="1">
      <c r="A149" s="27"/>
      <c r="B149" s="44"/>
      <c r="C149" s="36"/>
      <c r="D149" s="6"/>
      <c r="E149" s="46"/>
      <c r="F149" s="75"/>
      <c r="G149" s="48"/>
      <c r="H149" s="46"/>
      <c r="I149" s="75"/>
      <c r="J149" s="48"/>
      <c r="K149" s="46"/>
      <c r="L149" s="75"/>
      <c r="M149" s="48"/>
      <c r="N149" s="46"/>
      <c r="O149" s="75"/>
      <c r="P149" s="48"/>
      <c r="Q149" s="76"/>
      <c r="R149" s="75"/>
      <c r="S149" s="77"/>
      <c r="T149" s="76"/>
      <c r="U149" s="75"/>
      <c r="V149" s="77"/>
      <c r="W149" s="76"/>
      <c r="X149" s="75"/>
      <c r="Y149" s="77"/>
      <c r="Z149" s="78"/>
      <c r="AA149" s="79"/>
      <c r="AB149" s="80"/>
    </row>
    <row r="150" spans="1:28" ht="13.5" customHeight="1">
      <c r="A150" s="27"/>
      <c r="B150" s="44"/>
      <c r="C150" s="28" t="s">
        <v>410</v>
      </c>
      <c r="D150" s="30" t="s">
        <v>411</v>
      </c>
      <c r="E150" s="37" t="s">
        <v>412</v>
      </c>
      <c r="F150" s="71"/>
      <c r="G150" s="39">
        <f>SUM(G151:G163)</f>
        <v>10.4</v>
      </c>
      <c r="H150" s="37" t="s">
        <v>412</v>
      </c>
      <c r="I150" s="71"/>
      <c r="J150" s="39">
        <f>SUM(J151:J163)</f>
        <v>11.099999999999998</v>
      </c>
      <c r="K150" s="37" t="s">
        <v>412</v>
      </c>
      <c r="L150" s="71"/>
      <c r="M150" s="39">
        <f>SUM(M151:M163)</f>
        <v>10.299999999999999</v>
      </c>
      <c r="N150" s="37" t="s">
        <v>412</v>
      </c>
      <c r="O150" s="71"/>
      <c r="P150" s="39">
        <f>SUM(P151:P163)</f>
        <v>10.700000000000001</v>
      </c>
      <c r="Q150" s="37" t="s">
        <v>412</v>
      </c>
      <c r="R150" s="71"/>
      <c r="S150" s="39">
        <f>SUM(S151:S163)</f>
        <v>10.199999999999999</v>
      </c>
      <c r="T150" s="37" t="s">
        <v>412</v>
      </c>
      <c r="U150" s="71"/>
      <c r="V150" s="39">
        <f>SUM(V151:V163)</f>
        <v>9.1999999999999993</v>
      </c>
      <c r="W150" s="72"/>
      <c r="X150" s="71"/>
      <c r="Y150" s="39">
        <f>SUM(Y151:Y163)</f>
        <v>8.6000000000000014</v>
      </c>
      <c r="Z150" s="73"/>
      <c r="AA150" s="74"/>
      <c r="AB150" s="39">
        <f>SUM(AB151:AB163)</f>
        <v>8.3999999999999986</v>
      </c>
    </row>
    <row r="151" spans="1:28" ht="13.5" customHeight="1">
      <c r="A151" s="27"/>
      <c r="B151" s="44"/>
      <c r="C151" s="44"/>
      <c r="D151" s="45"/>
      <c r="E151" s="46" t="s">
        <v>414</v>
      </c>
      <c r="F151" s="47" t="s">
        <v>413</v>
      </c>
      <c r="G151" s="48">
        <v>0.3</v>
      </c>
      <c r="H151" s="46" t="s">
        <v>414</v>
      </c>
      <c r="I151" s="47" t="s">
        <v>413</v>
      </c>
      <c r="J151" s="48">
        <v>0.3</v>
      </c>
      <c r="K151" s="46" t="s">
        <v>414</v>
      </c>
      <c r="L151" s="47" t="s">
        <v>413</v>
      </c>
      <c r="M151" s="48">
        <v>0.3</v>
      </c>
      <c r="N151" s="46" t="s">
        <v>414</v>
      </c>
      <c r="O151" s="47" t="s">
        <v>413</v>
      </c>
      <c r="P151" s="48">
        <v>0.4</v>
      </c>
      <c r="Q151" s="46" t="s">
        <v>414</v>
      </c>
      <c r="R151" s="47" t="s">
        <v>413</v>
      </c>
      <c r="S151" s="48">
        <v>0.5</v>
      </c>
      <c r="T151" s="46" t="s">
        <v>414</v>
      </c>
      <c r="U151" s="47" t="s">
        <v>413</v>
      </c>
      <c r="V151" s="48">
        <v>0.4</v>
      </c>
      <c r="W151" s="46" t="s">
        <v>415</v>
      </c>
      <c r="X151" s="47" t="s">
        <v>2492</v>
      </c>
      <c r="Y151" s="48">
        <v>0.3</v>
      </c>
      <c r="Z151" s="49" t="s">
        <v>416</v>
      </c>
      <c r="AA151" s="50" t="s">
        <v>413</v>
      </c>
      <c r="AB151" s="51">
        <v>0.3</v>
      </c>
    </row>
    <row r="152" spans="1:28" ht="13.5" customHeight="1">
      <c r="A152" s="27"/>
      <c r="B152" s="44"/>
      <c r="C152" s="44"/>
      <c r="D152" s="45"/>
      <c r="E152" s="46" t="s">
        <v>418</v>
      </c>
      <c r="F152" s="47" t="s">
        <v>417</v>
      </c>
      <c r="G152" s="48">
        <v>0.1</v>
      </c>
      <c r="H152" s="46" t="s">
        <v>418</v>
      </c>
      <c r="I152" s="47" t="s">
        <v>417</v>
      </c>
      <c r="J152" s="48">
        <v>0.1</v>
      </c>
      <c r="K152" s="46" t="s">
        <v>418</v>
      </c>
      <c r="L152" s="47" t="s">
        <v>417</v>
      </c>
      <c r="M152" s="48">
        <v>0.1</v>
      </c>
      <c r="N152" s="46" t="s">
        <v>418</v>
      </c>
      <c r="O152" s="47" t="s">
        <v>417</v>
      </c>
      <c r="P152" s="48">
        <v>0.2</v>
      </c>
      <c r="Q152" s="46" t="s">
        <v>418</v>
      </c>
      <c r="R152" s="47" t="s">
        <v>417</v>
      </c>
      <c r="S152" s="48">
        <v>0.1</v>
      </c>
      <c r="T152" s="46" t="s">
        <v>418</v>
      </c>
      <c r="U152" s="47" t="s">
        <v>417</v>
      </c>
      <c r="V152" s="48">
        <v>0.1</v>
      </c>
      <c r="W152" s="46"/>
      <c r="X152" s="47"/>
      <c r="Y152" s="48"/>
      <c r="Z152" s="49"/>
      <c r="AA152" s="50"/>
      <c r="AB152" s="51"/>
    </row>
    <row r="153" spans="1:28" ht="13.5" customHeight="1">
      <c r="A153" s="27"/>
      <c r="B153" s="44"/>
      <c r="C153" s="44"/>
      <c r="D153" s="6"/>
      <c r="E153" s="46" t="s">
        <v>420</v>
      </c>
      <c r="F153" s="47" t="s">
        <v>419</v>
      </c>
      <c r="G153" s="48">
        <v>0.4</v>
      </c>
      <c r="H153" s="46" t="s">
        <v>420</v>
      </c>
      <c r="I153" s="47" t="s">
        <v>419</v>
      </c>
      <c r="J153" s="48">
        <v>0.4</v>
      </c>
      <c r="K153" s="46" t="s">
        <v>420</v>
      </c>
      <c r="L153" s="47" t="s">
        <v>419</v>
      </c>
      <c r="M153" s="48">
        <v>0.5</v>
      </c>
      <c r="N153" s="46" t="s">
        <v>420</v>
      </c>
      <c r="O153" s="47" t="s">
        <v>419</v>
      </c>
      <c r="P153" s="48">
        <v>0.4</v>
      </c>
      <c r="Q153" s="46" t="s">
        <v>420</v>
      </c>
      <c r="R153" s="47" t="s">
        <v>419</v>
      </c>
      <c r="S153" s="48">
        <v>0.4</v>
      </c>
      <c r="T153" s="46" t="s">
        <v>420</v>
      </c>
      <c r="U153" s="47" t="s">
        <v>419</v>
      </c>
      <c r="V153" s="48">
        <v>0.3</v>
      </c>
      <c r="W153" s="46" t="s">
        <v>421</v>
      </c>
      <c r="X153" s="47" t="s">
        <v>2493</v>
      </c>
      <c r="Y153" s="48">
        <v>0.7</v>
      </c>
      <c r="Z153" s="49" t="s">
        <v>422</v>
      </c>
      <c r="AA153" s="50" t="s">
        <v>419</v>
      </c>
      <c r="AB153" s="51">
        <v>0.6</v>
      </c>
    </row>
    <row r="154" spans="1:28" ht="13.5" customHeight="1">
      <c r="A154" s="27"/>
      <c r="B154" s="44"/>
      <c r="C154" s="36"/>
      <c r="D154" s="6"/>
      <c r="E154" s="46" t="s">
        <v>424</v>
      </c>
      <c r="F154" s="47" t="s">
        <v>423</v>
      </c>
      <c r="G154" s="48">
        <v>0.2</v>
      </c>
      <c r="H154" s="46" t="s">
        <v>424</v>
      </c>
      <c r="I154" s="47" t="s">
        <v>423</v>
      </c>
      <c r="J154" s="48">
        <v>0.2</v>
      </c>
      <c r="K154" s="46" t="s">
        <v>424</v>
      </c>
      <c r="L154" s="47" t="s">
        <v>423</v>
      </c>
      <c r="M154" s="48">
        <v>0.2</v>
      </c>
      <c r="N154" s="46" t="s">
        <v>424</v>
      </c>
      <c r="O154" s="47" t="s">
        <v>423</v>
      </c>
      <c r="P154" s="48">
        <v>0.2</v>
      </c>
      <c r="Q154" s="46" t="s">
        <v>424</v>
      </c>
      <c r="R154" s="47" t="s">
        <v>423</v>
      </c>
      <c r="S154" s="48">
        <v>0.2</v>
      </c>
      <c r="T154" s="46" t="s">
        <v>424</v>
      </c>
      <c r="U154" s="47" t="s">
        <v>423</v>
      </c>
      <c r="V154" s="48">
        <v>0.2</v>
      </c>
      <c r="W154" s="46" t="s">
        <v>425</v>
      </c>
      <c r="X154" s="47" t="s">
        <v>2494</v>
      </c>
      <c r="Y154" s="48">
        <v>0.2</v>
      </c>
      <c r="Z154" s="49" t="s">
        <v>426</v>
      </c>
      <c r="AA154" s="50" t="s">
        <v>423</v>
      </c>
      <c r="AB154" s="51">
        <v>0.1</v>
      </c>
    </row>
    <row r="155" spans="1:28" ht="13.5" customHeight="1">
      <c r="A155" s="27"/>
      <c r="B155" s="44"/>
      <c r="C155" s="44"/>
      <c r="D155" s="6"/>
      <c r="E155" s="46" t="s">
        <v>428</v>
      </c>
      <c r="F155" s="47" t="s">
        <v>427</v>
      </c>
      <c r="G155" s="48">
        <v>0.5</v>
      </c>
      <c r="H155" s="46" t="s">
        <v>428</v>
      </c>
      <c r="I155" s="47" t="s">
        <v>427</v>
      </c>
      <c r="J155" s="48">
        <v>0.5</v>
      </c>
      <c r="K155" s="46" t="s">
        <v>428</v>
      </c>
      <c r="L155" s="47" t="s">
        <v>427</v>
      </c>
      <c r="M155" s="48">
        <v>0.6</v>
      </c>
      <c r="N155" s="46" t="s">
        <v>428</v>
      </c>
      <c r="O155" s="47" t="s">
        <v>427</v>
      </c>
      <c r="P155" s="48">
        <v>0.6</v>
      </c>
      <c r="Q155" s="46" t="s">
        <v>428</v>
      </c>
      <c r="R155" s="47" t="s">
        <v>427</v>
      </c>
      <c r="S155" s="48">
        <v>0.5</v>
      </c>
      <c r="T155" s="46" t="s">
        <v>428</v>
      </c>
      <c r="U155" s="47" t="s">
        <v>427</v>
      </c>
      <c r="V155" s="48">
        <v>0.4</v>
      </c>
      <c r="W155" s="46" t="s">
        <v>429</v>
      </c>
      <c r="X155" s="47" t="s">
        <v>2495</v>
      </c>
      <c r="Y155" s="48">
        <v>0.3</v>
      </c>
      <c r="Z155" s="49" t="s">
        <v>430</v>
      </c>
      <c r="AA155" s="50" t="s">
        <v>427</v>
      </c>
      <c r="AB155" s="51">
        <v>0.3</v>
      </c>
    </row>
    <row r="156" spans="1:28" ht="13.5" customHeight="1">
      <c r="A156" s="27"/>
      <c r="B156" s="44"/>
      <c r="C156" s="44"/>
      <c r="D156" s="6"/>
      <c r="E156" s="46" t="s">
        <v>432</v>
      </c>
      <c r="F156" s="47" t="s">
        <v>431</v>
      </c>
      <c r="G156" s="48">
        <v>0.8</v>
      </c>
      <c r="H156" s="46" t="s">
        <v>432</v>
      </c>
      <c r="I156" s="47" t="s">
        <v>431</v>
      </c>
      <c r="J156" s="48">
        <v>0.8</v>
      </c>
      <c r="K156" s="46" t="s">
        <v>432</v>
      </c>
      <c r="L156" s="47" t="s">
        <v>431</v>
      </c>
      <c r="M156" s="48">
        <v>0.7</v>
      </c>
      <c r="N156" s="46" t="s">
        <v>432</v>
      </c>
      <c r="O156" s="47" t="s">
        <v>431</v>
      </c>
      <c r="P156" s="48">
        <v>0.6</v>
      </c>
      <c r="Q156" s="46" t="s">
        <v>432</v>
      </c>
      <c r="R156" s="47" t="s">
        <v>431</v>
      </c>
      <c r="S156" s="48">
        <v>0.5</v>
      </c>
      <c r="T156" s="46" t="s">
        <v>432</v>
      </c>
      <c r="U156" s="47" t="s">
        <v>431</v>
      </c>
      <c r="V156" s="48">
        <v>0.4</v>
      </c>
      <c r="W156" s="46" t="s">
        <v>433</v>
      </c>
      <c r="X156" s="47" t="s">
        <v>2496</v>
      </c>
      <c r="Y156" s="48">
        <v>0.3</v>
      </c>
      <c r="Z156" s="49" t="s">
        <v>434</v>
      </c>
      <c r="AA156" s="50" t="s">
        <v>431</v>
      </c>
      <c r="AB156" s="51">
        <v>0.4</v>
      </c>
    </row>
    <row r="157" spans="1:28" ht="13.5" customHeight="1">
      <c r="A157" s="27"/>
      <c r="B157" s="44"/>
      <c r="C157" s="44"/>
      <c r="D157" s="6"/>
      <c r="E157" s="46" t="s">
        <v>436</v>
      </c>
      <c r="F157" s="47" t="s">
        <v>435</v>
      </c>
      <c r="G157" s="48">
        <v>0.1</v>
      </c>
      <c r="H157" s="46" t="s">
        <v>436</v>
      </c>
      <c r="I157" s="47" t="s">
        <v>435</v>
      </c>
      <c r="J157" s="48">
        <v>0.1</v>
      </c>
      <c r="K157" s="46" t="s">
        <v>436</v>
      </c>
      <c r="L157" s="47" t="s">
        <v>435</v>
      </c>
      <c r="M157" s="48">
        <v>0.2</v>
      </c>
      <c r="N157" s="46" t="s">
        <v>436</v>
      </c>
      <c r="O157" s="47" t="s">
        <v>435</v>
      </c>
      <c r="P157" s="48">
        <v>0.2</v>
      </c>
      <c r="Q157" s="46" t="s">
        <v>436</v>
      </c>
      <c r="R157" s="47" t="s">
        <v>435</v>
      </c>
      <c r="S157" s="48">
        <v>0.2</v>
      </c>
      <c r="T157" s="46" t="s">
        <v>436</v>
      </c>
      <c r="U157" s="47" t="s">
        <v>435</v>
      </c>
      <c r="V157" s="48">
        <v>0.2</v>
      </c>
      <c r="W157" s="46" t="s">
        <v>437</v>
      </c>
      <c r="X157" s="47" t="s">
        <v>2497</v>
      </c>
      <c r="Y157" s="48">
        <v>0.3</v>
      </c>
      <c r="Z157" s="49" t="s">
        <v>438</v>
      </c>
      <c r="AA157" s="50" t="s">
        <v>435</v>
      </c>
      <c r="AB157" s="51">
        <v>0.1</v>
      </c>
    </row>
    <row r="158" spans="1:28" ht="13.5" customHeight="1">
      <c r="A158" s="27"/>
      <c r="B158" s="44"/>
      <c r="C158" s="44"/>
      <c r="D158" s="6"/>
      <c r="E158" s="46" t="s">
        <v>440</v>
      </c>
      <c r="F158" s="47" t="s">
        <v>439</v>
      </c>
      <c r="G158" s="48">
        <v>2.6</v>
      </c>
      <c r="H158" s="46" t="s">
        <v>440</v>
      </c>
      <c r="I158" s="47" t="s">
        <v>439</v>
      </c>
      <c r="J158" s="48">
        <v>2.7</v>
      </c>
      <c r="K158" s="46" t="s">
        <v>440</v>
      </c>
      <c r="L158" s="47" t="s">
        <v>439</v>
      </c>
      <c r="M158" s="48">
        <v>2.2999999999999998</v>
      </c>
      <c r="N158" s="46" t="s">
        <v>440</v>
      </c>
      <c r="O158" s="47" t="s">
        <v>439</v>
      </c>
      <c r="P158" s="48">
        <v>2.5</v>
      </c>
      <c r="Q158" s="46" t="s">
        <v>440</v>
      </c>
      <c r="R158" s="47" t="s">
        <v>439</v>
      </c>
      <c r="S158" s="48">
        <v>2.5</v>
      </c>
      <c r="T158" s="46" t="s">
        <v>440</v>
      </c>
      <c r="U158" s="47" t="s">
        <v>439</v>
      </c>
      <c r="V158" s="48">
        <v>2.4</v>
      </c>
      <c r="W158" s="46" t="s">
        <v>441</v>
      </c>
      <c r="X158" s="47" t="s">
        <v>2498</v>
      </c>
      <c r="Y158" s="48">
        <v>1.1000000000000001</v>
      </c>
      <c r="Z158" s="49" t="s">
        <v>442</v>
      </c>
      <c r="AA158" s="50" t="s">
        <v>439</v>
      </c>
      <c r="AB158" s="51">
        <v>1.5</v>
      </c>
    </row>
    <row r="159" spans="1:28" ht="13.5" customHeight="1">
      <c r="A159" s="27"/>
      <c r="B159" s="44"/>
      <c r="C159" s="44"/>
      <c r="D159" s="6"/>
      <c r="E159" s="46"/>
      <c r="F159" s="47"/>
      <c r="G159" s="48"/>
      <c r="H159" s="46"/>
      <c r="I159" s="47"/>
      <c r="J159" s="48"/>
      <c r="K159" s="46"/>
      <c r="L159" s="47"/>
      <c r="M159" s="48"/>
      <c r="N159" s="46"/>
      <c r="O159" s="47"/>
      <c r="P159" s="48"/>
      <c r="Q159" s="46"/>
      <c r="R159" s="47"/>
      <c r="S159" s="48"/>
      <c r="T159" s="46"/>
      <c r="U159" s="47"/>
      <c r="V159" s="48"/>
      <c r="W159" s="46" t="s">
        <v>443</v>
      </c>
      <c r="X159" s="47" t="s">
        <v>2499</v>
      </c>
      <c r="Y159" s="48">
        <v>0.9</v>
      </c>
      <c r="Z159" s="49" t="s">
        <v>444</v>
      </c>
      <c r="AA159" s="50" t="s">
        <v>445</v>
      </c>
      <c r="AB159" s="51">
        <v>0.5</v>
      </c>
    </row>
    <row r="160" spans="1:28" ht="13.5" customHeight="1">
      <c r="A160" s="27"/>
      <c r="B160" s="44"/>
      <c r="C160" s="36"/>
      <c r="D160" s="6"/>
      <c r="E160" s="46" t="s">
        <v>447</v>
      </c>
      <c r="F160" s="47" t="s">
        <v>446</v>
      </c>
      <c r="G160" s="48">
        <v>1.9</v>
      </c>
      <c r="H160" s="46" t="s">
        <v>447</v>
      </c>
      <c r="I160" s="47" t="s">
        <v>446</v>
      </c>
      <c r="J160" s="48">
        <v>1.8</v>
      </c>
      <c r="K160" s="46" t="s">
        <v>447</v>
      </c>
      <c r="L160" s="47" t="s">
        <v>446</v>
      </c>
      <c r="M160" s="48">
        <v>1.8</v>
      </c>
      <c r="N160" s="46" t="s">
        <v>447</v>
      </c>
      <c r="O160" s="47" t="s">
        <v>446</v>
      </c>
      <c r="P160" s="48">
        <v>1.7</v>
      </c>
      <c r="Q160" s="46" t="s">
        <v>447</v>
      </c>
      <c r="R160" s="47" t="s">
        <v>446</v>
      </c>
      <c r="S160" s="48">
        <v>2</v>
      </c>
      <c r="T160" s="46" t="s">
        <v>447</v>
      </c>
      <c r="U160" s="47" t="s">
        <v>446</v>
      </c>
      <c r="V160" s="48">
        <v>2</v>
      </c>
      <c r="W160" s="46" t="s">
        <v>448</v>
      </c>
      <c r="X160" s="47" t="s">
        <v>2500</v>
      </c>
      <c r="Y160" s="48">
        <v>1.8</v>
      </c>
      <c r="Z160" s="49" t="s">
        <v>449</v>
      </c>
      <c r="AA160" s="50" t="s">
        <v>446</v>
      </c>
      <c r="AB160" s="51">
        <v>0.5</v>
      </c>
    </row>
    <row r="161" spans="1:28" ht="13.5" customHeight="1">
      <c r="A161" s="27"/>
      <c r="B161" s="44"/>
      <c r="C161" s="36"/>
      <c r="D161" s="6"/>
      <c r="E161" s="46"/>
      <c r="F161" s="47"/>
      <c r="G161" s="48"/>
      <c r="H161" s="46"/>
      <c r="I161" s="47"/>
      <c r="J161" s="48"/>
      <c r="K161" s="46"/>
      <c r="L161" s="47"/>
      <c r="M161" s="48"/>
      <c r="N161" s="46"/>
      <c r="O161" s="47"/>
      <c r="P161" s="48"/>
      <c r="Q161" s="46"/>
      <c r="R161" s="47"/>
      <c r="S161" s="48"/>
      <c r="T161" s="46"/>
      <c r="U161" s="47"/>
      <c r="V161" s="48"/>
      <c r="W161" s="46"/>
      <c r="X161" s="47"/>
      <c r="Y161" s="48"/>
      <c r="Z161" s="49" t="s">
        <v>450</v>
      </c>
      <c r="AA161" s="50" t="s">
        <v>451</v>
      </c>
      <c r="AB161" s="51">
        <v>0.5</v>
      </c>
    </row>
    <row r="162" spans="1:28" ht="13.5" customHeight="1">
      <c r="A162" s="27"/>
      <c r="B162" s="44"/>
      <c r="C162" s="36"/>
      <c r="D162" s="6"/>
      <c r="E162" s="46" t="s">
        <v>453</v>
      </c>
      <c r="F162" s="47" t="s">
        <v>452</v>
      </c>
      <c r="G162" s="48">
        <v>2.9</v>
      </c>
      <c r="H162" s="46" t="s">
        <v>453</v>
      </c>
      <c r="I162" s="47" t="s">
        <v>452</v>
      </c>
      <c r="J162" s="48">
        <v>3.5</v>
      </c>
      <c r="K162" s="46" t="s">
        <v>453</v>
      </c>
      <c r="L162" s="47" t="s">
        <v>452</v>
      </c>
      <c r="M162" s="48">
        <v>3</v>
      </c>
      <c r="N162" s="46" t="s">
        <v>453</v>
      </c>
      <c r="O162" s="47" t="s">
        <v>452</v>
      </c>
      <c r="P162" s="48">
        <v>3.1</v>
      </c>
      <c r="Q162" s="46" t="s">
        <v>453</v>
      </c>
      <c r="R162" s="47" t="s">
        <v>452</v>
      </c>
      <c r="S162" s="48">
        <v>2.6</v>
      </c>
      <c r="T162" s="46" t="s">
        <v>453</v>
      </c>
      <c r="U162" s="47" t="s">
        <v>452</v>
      </c>
      <c r="V162" s="48">
        <v>2.2000000000000002</v>
      </c>
      <c r="W162" s="46" t="s">
        <v>454</v>
      </c>
      <c r="X162" s="47" t="s">
        <v>2501</v>
      </c>
      <c r="Y162" s="48">
        <v>2.2000000000000002</v>
      </c>
      <c r="Z162" s="49" t="s">
        <v>455</v>
      </c>
      <c r="AA162" s="50" t="s">
        <v>452</v>
      </c>
      <c r="AB162" s="51">
        <v>2.9</v>
      </c>
    </row>
    <row r="163" spans="1:28" ht="13.5" customHeight="1">
      <c r="A163" s="27"/>
      <c r="B163" s="44"/>
      <c r="C163" s="36"/>
      <c r="D163" s="6"/>
      <c r="E163" s="46" t="s">
        <v>456</v>
      </c>
      <c r="F163" s="75" t="s">
        <v>2502</v>
      </c>
      <c r="G163" s="48">
        <v>0.6</v>
      </c>
      <c r="H163" s="46" t="s">
        <v>456</v>
      </c>
      <c r="I163" s="75" t="s">
        <v>2502</v>
      </c>
      <c r="J163" s="48">
        <v>0.7</v>
      </c>
      <c r="K163" s="46" t="s">
        <v>456</v>
      </c>
      <c r="L163" s="75" t="s">
        <v>2502</v>
      </c>
      <c r="M163" s="48">
        <v>0.6</v>
      </c>
      <c r="N163" s="46" t="s">
        <v>456</v>
      </c>
      <c r="O163" s="75" t="s">
        <v>2502</v>
      </c>
      <c r="P163" s="48">
        <v>0.8</v>
      </c>
      <c r="Q163" s="76" t="s">
        <v>456</v>
      </c>
      <c r="R163" s="75" t="s">
        <v>457</v>
      </c>
      <c r="S163" s="77">
        <v>0.7</v>
      </c>
      <c r="T163" s="76" t="s">
        <v>456</v>
      </c>
      <c r="U163" s="75" t="s">
        <v>457</v>
      </c>
      <c r="V163" s="77">
        <v>0.6</v>
      </c>
      <c r="W163" s="76" t="s">
        <v>458</v>
      </c>
      <c r="X163" s="75" t="s">
        <v>2503</v>
      </c>
      <c r="Y163" s="77">
        <v>0.5</v>
      </c>
      <c r="Z163" s="78" t="s">
        <v>459</v>
      </c>
      <c r="AA163" s="79" t="s">
        <v>457</v>
      </c>
      <c r="AB163" s="80">
        <v>0.7</v>
      </c>
    </row>
    <row r="164" spans="1:28" ht="13.5" customHeight="1">
      <c r="A164" s="27"/>
      <c r="B164" s="44"/>
      <c r="C164" s="28" t="s">
        <v>460</v>
      </c>
      <c r="D164" s="30" t="s">
        <v>461</v>
      </c>
      <c r="E164" s="37" t="s">
        <v>462</v>
      </c>
      <c r="F164" s="71"/>
      <c r="G164" s="39">
        <f>SUM(G165:G189)</f>
        <v>15.7</v>
      </c>
      <c r="H164" s="37" t="s">
        <v>462</v>
      </c>
      <c r="I164" s="71"/>
      <c r="J164" s="39">
        <f>SUM(J165:J189)</f>
        <v>17.300000000000004</v>
      </c>
      <c r="K164" s="37" t="s">
        <v>462</v>
      </c>
      <c r="L164" s="71"/>
      <c r="M164" s="39">
        <f>SUM(M165:M189)</f>
        <v>12.1</v>
      </c>
      <c r="N164" s="37" t="s">
        <v>462</v>
      </c>
      <c r="O164" s="71"/>
      <c r="P164" s="39">
        <f>SUM(P165:P189)</f>
        <v>10.4</v>
      </c>
      <c r="Q164" s="37" t="s">
        <v>462</v>
      </c>
      <c r="R164" s="71"/>
      <c r="S164" s="39">
        <f>SUM(S165:S189)</f>
        <v>10.700000000000001</v>
      </c>
      <c r="T164" s="37" t="s">
        <v>462</v>
      </c>
      <c r="U164" s="71"/>
      <c r="V164" s="39">
        <f>SUM(V165:V189)</f>
        <v>9.4999999999999982</v>
      </c>
      <c r="W164" s="72"/>
      <c r="X164" s="71"/>
      <c r="Y164" s="39">
        <f>SUM(Y165:Y189)</f>
        <v>11.399999999999997</v>
      </c>
      <c r="Z164" s="73"/>
      <c r="AA164" s="74"/>
      <c r="AB164" s="39">
        <f>SUM(AB165:AB189)</f>
        <v>9.5</v>
      </c>
    </row>
    <row r="165" spans="1:28" ht="13.5" customHeight="1">
      <c r="A165" s="27"/>
      <c r="B165" s="44"/>
      <c r="C165" s="44"/>
      <c r="D165" s="45"/>
      <c r="E165" s="46" t="s">
        <v>463</v>
      </c>
      <c r="F165" s="47" t="s">
        <v>464</v>
      </c>
      <c r="G165" s="48">
        <v>1.6</v>
      </c>
      <c r="H165" s="46" t="s">
        <v>463</v>
      </c>
      <c r="I165" s="47" t="s">
        <v>464</v>
      </c>
      <c r="J165" s="48">
        <v>2.2999999999999998</v>
      </c>
      <c r="K165" s="46" t="s">
        <v>463</v>
      </c>
      <c r="L165" s="47" t="s">
        <v>2504</v>
      </c>
      <c r="M165" s="48">
        <v>1.6</v>
      </c>
      <c r="N165" s="46" t="s">
        <v>463</v>
      </c>
      <c r="O165" s="47" t="s">
        <v>2504</v>
      </c>
      <c r="P165" s="48">
        <v>1.5</v>
      </c>
      <c r="Q165" s="46" t="s">
        <v>463</v>
      </c>
      <c r="R165" s="47" t="s">
        <v>464</v>
      </c>
      <c r="S165" s="48">
        <v>2.5</v>
      </c>
      <c r="T165" s="46" t="s">
        <v>463</v>
      </c>
      <c r="U165" s="47" t="s">
        <v>464</v>
      </c>
      <c r="V165" s="48">
        <v>1.8</v>
      </c>
      <c r="W165" s="46" t="s">
        <v>465</v>
      </c>
      <c r="X165" s="47" t="s">
        <v>2505</v>
      </c>
      <c r="Y165" s="48">
        <v>2.8</v>
      </c>
      <c r="Z165" s="49" t="s">
        <v>466</v>
      </c>
      <c r="AA165" s="50" t="s">
        <v>467</v>
      </c>
      <c r="AB165" s="51">
        <v>2.6</v>
      </c>
    </row>
    <row r="166" spans="1:28" ht="13.5" customHeight="1">
      <c r="A166" s="27"/>
      <c r="B166" s="44"/>
      <c r="C166" s="44"/>
      <c r="D166" s="6"/>
      <c r="E166" s="46"/>
      <c r="F166" s="47"/>
      <c r="G166" s="48"/>
      <c r="H166" s="46"/>
      <c r="I166" s="47"/>
      <c r="J166" s="48"/>
      <c r="K166" s="46"/>
      <c r="L166" s="47"/>
      <c r="M166" s="48"/>
      <c r="N166" s="46"/>
      <c r="O166" s="47"/>
      <c r="P166" s="48"/>
      <c r="Q166" s="46"/>
      <c r="R166" s="47"/>
      <c r="S166" s="48"/>
      <c r="T166" s="46"/>
      <c r="U166" s="47"/>
      <c r="V166" s="48"/>
      <c r="W166" s="46"/>
      <c r="X166" s="47"/>
      <c r="Y166" s="48"/>
      <c r="Z166" s="49"/>
      <c r="AA166" s="50"/>
      <c r="AB166" s="51"/>
    </row>
    <row r="167" spans="1:28" ht="13.5" customHeight="1">
      <c r="A167" s="27"/>
      <c r="B167" s="44"/>
      <c r="C167" s="44"/>
      <c r="D167" s="6"/>
      <c r="E167" s="46" t="s">
        <v>469</v>
      </c>
      <c r="F167" s="47" t="s">
        <v>468</v>
      </c>
      <c r="G167" s="48">
        <v>0.6</v>
      </c>
      <c r="H167" s="46" t="s">
        <v>469</v>
      </c>
      <c r="I167" s="47" t="s">
        <v>468</v>
      </c>
      <c r="J167" s="48">
        <v>0.5</v>
      </c>
      <c r="K167" s="46" t="s">
        <v>469</v>
      </c>
      <c r="L167" s="47" t="s">
        <v>468</v>
      </c>
      <c r="M167" s="48">
        <v>0.5</v>
      </c>
      <c r="N167" s="46" t="s">
        <v>469</v>
      </c>
      <c r="O167" s="47" t="s">
        <v>468</v>
      </c>
      <c r="P167" s="48">
        <v>0.5</v>
      </c>
      <c r="Q167" s="46" t="s">
        <v>469</v>
      </c>
      <c r="R167" s="47" t="s">
        <v>468</v>
      </c>
      <c r="S167" s="48">
        <v>0.5</v>
      </c>
      <c r="T167" s="46" t="s">
        <v>469</v>
      </c>
      <c r="U167" s="47" t="s">
        <v>468</v>
      </c>
      <c r="V167" s="48">
        <v>0.5</v>
      </c>
      <c r="W167" s="46" t="s">
        <v>470</v>
      </c>
      <c r="X167" s="47" t="s">
        <v>2506</v>
      </c>
      <c r="Y167" s="48">
        <v>0.6</v>
      </c>
      <c r="Z167" s="49" t="s">
        <v>471</v>
      </c>
      <c r="AA167" s="50" t="s">
        <v>468</v>
      </c>
      <c r="AB167" s="51">
        <v>0.6</v>
      </c>
    </row>
    <row r="168" spans="1:28" ht="13.5" customHeight="1">
      <c r="A168" s="27"/>
      <c r="B168" s="44"/>
      <c r="C168" s="36"/>
      <c r="D168" s="6"/>
      <c r="E168" s="46" t="s">
        <v>473</v>
      </c>
      <c r="F168" s="47" t="s">
        <v>472</v>
      </c>
      <c r="G168" s="48">
        <v>0.1</v>
      </c>
      <c r="H168" s="46" t="s">
        <v>473</v>
      </c>
      <c r="I168" s="47" t="s">
        <v>472</v>
      </c>
      <c r="J168" s="48">
        <v>0.2</v>
      </c>
      <c r="K168" s="46" t="s">
        <v>473</v>
      </c>
      <c r="L168" s="47" t="s">
        <v>472</v>
      </c>
      <c r="M168" s="48">
        <v>0.1</v>
      </c>
      <c r="N168" s="46" t="s">
        <v>473</v>
      </c>
      <c r="O168" s="47" t="s">
        <v>472</v>
      </c>
      <c r="P168" s="48">
        <v>0.2</v>
      </c>
      <c r="Q168" s="46" t="s">
        <v>473</v>
      </c>
      <c r="R168" s="47" t="s">
        <v>472</v>
      </c>
      <c r="S168" s="48">
        <v>0.1</v>
      </c>
      <c r="T168" s="46" t="s">
        <v>473</v>
      </c>
      <c r="U168" s="47" t="s">
        <v>472</v>
      </c>
      <c r="V168" s="48">
        <v>0.1</v>
      </c>
      <c r="W168" s="46" t="s">
        <v>474</v>
      </c>
      <c r="X168" s="47" t="s">
        <v>2507</v>
      </c>
      <c r="Y168" s="48">
        <v>0.2</v>
      </c>
      <c r="Z168" s="49" t="s">
        <v>475</v>
      </c>
      <c r="AA168" s="50" t="s">
        <v>472</v>
      </c>
      <c r="AB168" s="51">
        <v>0.2</v>
      </c>
    </row>
    <row r="169" spans="1:28" ht="13.5" customHeight="1">
      <c r="A169" s="27"/>
      <c r="B169" s="44"/>
      <c r="C169" s="36"/>
      <c r="D169" s="6"/>
      <c r="E169" s="46" t="s">
        <v>477</v>
      </c>
      <c r="F169" s="47" t="s">
        <v>476</v>
      </c>
      <c r="G169" s="48">
        <v>0.2</v>
      </c>
      <c r="H169" s="46" t="s">
        <v>477</v>
      </c>
      <c r="I169" s="47" t="s">
        <v>476</v>
      </c>
      <c r="J169" s="48">
        <v>0.2</v>
      </c>
      <c r="K169" s="46" t="s">
        <v>477</v>
      </c>
      <c r="L169" s="47" t="s">
        <v>476</v>
      </c>
      <c r="M169" s="48">
        <v>0.2</v>
      </c>
      <c r="N169" s="46" t="s">
        <v>477</v>
      </c>
      <c r="O169" s="47" t="s">
        <v>476</v>
      </c>
      <c r="P169" s="48">
        <v>0.2</v>
      </c>
      <c r="Q169" s="46" t="s">
        <v>477</v>
      </c>
      <c r="R169" s="47" t="s">
        <v>476</v>
      </c>
      <c r="S169" s="48">
        <v>0.3</v>
      </c>
      <c r="T169" s="46" t="s">
        <v>477</v>
      </c>
      <c r="U169" s="47" t="s">
        <v>476</v>
      </c>
      <c r="V169" s="48">
        <v>0.2</v>
      </c>
      <c r="W169" s="46" t="s">
        <v>478</v>
      </c>
      <c r="X169" s="47" t="s">
        <v>2508</v>
      </c>
      <c r="Y169" s="48">
        <v>0.3</v>
      </c>
      <c r="Z169" s="49" t="s">
        <v>479</v>
      </c>
      <c r="AA169" s="50" t="s">
        <v>476</v>
      </c>
      <c r="AB169" s="51">
        <v>0.3</v>
      </c>
    </row>
    <row r="170" spans="1:28" ht="13.5" customHeight="1">
      <c r="A170" s="27"/>
      <c r="B170" s="44"/>
      <c r="C170" s="36"/>
      <c r="D170" s="6"/>
      <c r="E170" s="46"/>
      <c r="F170" s="47"/>
      <c r="G170" s="48"/>
      <c r="H170" s="46"/>
      <c r="I170" s="47"/>
      <c r="J170" s="48"/>
      <c r="K170" s="46"/>
      <c r="L170" s="47"/>
      <c r="M170" s="48"/>
      <c r="N170" s="46"/>
      <c r="O170" s="47"/>
      <c r="P170" s="48"/>
      <c r="Q170" s="46"/>
      <c r="R170" s="47"/>
      <c r="S170" s="48"/>
      <c r="T170" s="46"/>
      <c r="U170" s="47"/>
      <c r="V170" s="48"/>
      <c r="W170" s="46"/>
      <c r="X170" s="47"/>
      <c r="Y170" s="48"/>
      <c r="Z170" s="49"/>
      <c r="AA170" s="50"/>
      <c r="AB170" s="51"/>
    </row>
    <row r="171" spans="1:28" ht="13.5" customHeight="1">
      <c r="A171" s="27"/>
      <c r="B171" s="44"/>
      <c r="C171" s="36"/>
      <c r="D171" s="6"/>
      <c r="E171" s="46" t="s">
        <v>481</v>
      </c>
      <c r="F171" s="47" t="s">
        <v>480</v>
      </c>
      <c r="G171" s="48">
        <v>0.4</v>
      </c>
      <c r="H171" s="46" t="s">
        <v>481</v>
      </c>
      <c r="I171" s="47" t="s">
        <v>480</v>
      </c>
      <c r="J171" s="48">
        <v>0.6</v>
      </c>
      <c r="K171" s="46" t="s">
        <v>481</v>
      </c>
      <c r="L171" s="47" t="s">
        <v>480</v>
      </c>
      <c r="M171" s="48">
        <v>0.5</v>
      </c>
      <c r="N171" s="46" t="s">
        <v>481</v>
      </c>
      <c r="O171" s="47" t="s">
        <v>480</v>
      </c>
      <c r="P171" s="48">
        <v>0.6</v>
      </c>
      <c r="Q171" s="46" t="s">
        <v>481</v>
      </c>
      <c r="R171" s="47" t="s">
        <v>480</v>
      </c>
      <c r="S171" s="48">
        <v>0.6</v>
      </c>
      <c r="T171" s="46" t="s">
        <v>481</v>
      </c>
      <c r="U171" s="47" t="s">
        <v>480</v>
      </c>
      <c r="V171" s="48">
        <v>0.5</v>
      </c>
      <c r="W171" s="46" t="s">
        <v>482</v>
      </c>
      <c r="X171" s="47" t="s">
        <v>2509</v>
      </c>
      <c r="Y171" s="48">
        <v>0.6</v>
      </c>
      <c r="Z171" s="49" t="s">
        <v>483</v>
      </c>
      <c r="AA171" s="50" t="s">
        <v>480</v>
      </c>
      <c r="AB171" s="51">
        <v>0.4</v>
      </c>
    </row>
    <row r="172" spans="1:28" ht="13.5" customHeight="1">
      <c r="A172" s="27"/>
      <c r="B172" s="44"/>
      <c r="C172" s="36"/>
      <c r="D172" s="6"/>
      <c r="E172" s="46" t="s">
        <v>485</v>
      </c>
      <c r="F172" s="47" t="s">
        <v>484</v>
      </c>
      <c r="G172" s="48">
        <v>0.4</v>
      </c>
      <c r="H172" s="46" t="s">
        <v>485</v>
      </c>
      <c r="I172" s="47" t="s">
        <v>484</v>
      </c>
      <c r="J172" s="48">
        <v>0.5</v>
      </c>
      <c r="K172" s="46" t="s">
        <v>485</v>
      </c>
      <c r="L172" s="47" t="s">
        <v>484</v>
      </c>
      <c r="M172" s="48">
        <v>0.4</v>
      </c>
      <c r="N172" s="46" t="s">
        <v>485</v>
      </c>
      <c r="O172" s="47" t="s">
        <v>484</v>
      </c>
      <c r="P172" s="48">
        <v>0.4</v>
      </c>
      <c r="Q172" s="46" t="s">
        <v>485</v>
      </c>
      <c r="R172" s="47" t="s">
        <v>484</v>
      </c>
      <c r="S172" s="48">
        <v>0.5</v>
      </c>
      <c r="T172" s="46" t="s">
        <v>485</v>
      </c>
      <c r="U172" s="47" t="s">
        <v>484</v>
      </c>
      <c r="V172" s="48">
        <v>0.4</v>
      </c>
      <c r="W172" s="46" t="s">
        <v>486</v>
      </c>
      <c r="X172" s="47" t="s">
        <v>2510</v>
      </c>
      <c r="Y172" s="48">
        <v>0.6</v>
      </c>
      <c r="Z172" s="49" t="s">
        <v>487</v>
      </c>
      <c r="AA172" s="50" t="s">
        <v>484</v>
      </c>
      <c r="AB172" s="51">
        <v>0.3</v>
      </c>
    </row>
    <row r="173" spans="1:28" ht="13.5" customHeight="1">
      <c r="A173" s="27"/>
      <c r="B173" s="44"/>
      <c r="C173" s="36"/>
      <c r="D173" s="6"/>
      <c r="E173" s="46" t="s">
        <v>489</v>
      </c>
      <c r="F173" s="47" t="s">
        <v>488</v>
      </c>
      <c r="G173" s="48">
        <v>0.3</v>
      </c>
      <c r="H173" s="46" t="s">
        <v>489</v>
      </c>
      <c r="I173" s="47" t="s">
        <v>488</v>
      </c>
      <c r="J173" s="48">
        <v>0.4</v>
      </c>
      <c r="K173" s="46" t="s">
        <v>489</v>
      </c>
      <c r="L173" s="47" t="s">
        <v>488</v>
      </c>
      <c r="M173" s="48">
        <v>0.4</v>
      </c>
      <c r="N173" s="46" t="s">
        <v>489</v>
      </c>
      <c r="O173" s="47" t="s">
        <v>488</v>
      </c>
      <c r="P173" s="48">
        <v>0.4</v>
      </c>
      <c r="Q173" s="46" t="s">
        <v>489</v>
      </c>
      <c r="R173" s="47" t="s">
        <v>488</v>
      </c>
      <c r="S173" s="48">
        <v>0.5</v>
      </c>
      <c r="T173" s="46" t="s">
        <v>489</v>
      </c>
      <c r="U173" s="47" t="s">
        <v>488</v>
      </c>
      <c r="V173" s="48">
        <v>0.4</v>
      </c>
      <c r="W173" s="46" t="s">
        <v>490</v>
      </c>
      <c r="X173" s="47" t="s">
        <v>2511</v>
      </c>
      <c r="Y173" s="48">
        <v>0.6</v>
      </c>
      <c r="Z173" s="49" t="s">
        <v>491</v>
      </c>
      <c r="AA173" s="50" t="s">
        <v>488</v>
      </c>
      <c r="AB173" s="51">
        <v>0.5</v>
      </c>
    </row>
    <row r="174" spans="1:28" ht="13.5" customHeight="1">
      <c r="A174" s="27"/>
      <c r="B174" s="44"/>
      <c r="C174" s="36"/>
      <c r="D174" s="6"/>
      <c r="E174" s="46" t="s">
        <v>493</v>
      </c>
      <c r="F174" s="47" t="s">
        <v>492</v>
      </c>
      <c r="G174" s="48">
        <v>0.2</v>
      </c>
      <c r="H174" s="46" t="s">
        <v>493</v>
      </c>
      <c r="I174" s="47" t="s">
        <v>492</v>
      </c>
      <c r="J174" s="48">
        <v>0.2</v>
      </c>
      <c r="K174" s="46" t="s">
        <v>493</v>
      </c>
      <c r="L174" s="47" t="s">
        <v>492</v>
      </c>
      <c r="M174" s="48">
        <v>0.1</v>
      </c>
      <c r="N174" s="46" t="s">
        <v>493</v>
      </c>
      <c r="O174" s="47" t="s">
        <v>492</v>
      </c>
      <c r="P174" s="48">
        <v>0.2</v>
      </c>
      <c r="Q174" s="46" t="s">
        <v>493</v>
      </c>
      <c r="R174" s="47" t="s">
        <v>492</v>
      </c>
      <c r="S174" s="48">
        <v>0.2</v>
      </c>
      <c r="T174" s="46" t="s">
        <v>493</v>
      </c>
      <c r="U174" s="47" t="s">
        <v>492</v>
      </c>
      <c r="V174" s="48">
        <v>0.2</v>
      </c>
      <c r="W174" s="46" t="s">
        <v>494</v>
      </c>
      <c r="X174" s="47" t="s">
        <v>2512</v>
      </c>
      <c r="Y174" s="48">
        <v>0.1</v>
      </c>
      <c r="Z174" s="49" t="s">
        <v>495</v>
      </c>
      <c r="AA174" s="50" t="s">
        <v>492</v>
      </c>
      <c r="AB174" s="51">
        <v>0.1</v>
      </c>
    </row>
    <row r="175" spans="1:28" ht="13.5" customHeight="1">
      <c r="A175" s="27"/>
      <c r="B175" s="44"/>
      <c r="C175" s="36"/>
      <c r="D175" s="6"/>
      <c r="E175" s="46"/>
      <c r="F175" s="47"/>
      <c r="G175" s="48"/>
      <c r="H175" s="46"/>
      <c r="I175" s="47"/>
      <c r="J175" s="48"/>
      <c r="K175" s="46"/>
      <c r="L175" s="47"/>
      <c r="M175" s="48"/>
      <c r="N175" s="46"/>
      <c r="O175" s="47"/>
      <c r="P175" s="48"/>
      <c r="Q175" s="46" t="s">
        <v>496</v>
      </c>
      <c r="R175" s="47" t="s">
        <v>497</v>
      </c>
      <c r="S175" s="48">
        <v>0.1</v>
      </c>
      <c r="T175" s="46" t="s">
        <v>496</v>
      </c>
      <c r="U175" s="47" t="s">
        <v>497</v>
      </c>
      <c r="V175" s="48">
        <v>0.1</v>
      </c>
      <c r="W175" s="46" t="s">
        <v>498</v>
      </c>
      <c r="X175" s="47" t="s">
        <v>2513</v>
      </c>
      <c r="Y175" s="48">
        <v>0.1</v>
      </c>
      <c r="Z175" s="49" t="s">
        <v>499</v>
      </c>
      <c r="AA175" s="50" t="s">
        <v>497</v>
      </c>
      <c r="AB175" s="51">
        <v>0.1</v>
      </c>
    </row>
    <row r="176" spans="1:28" ht="13.5" customHeight="1">
      <c r="A176" s="27"/>
      <c r="B176" s="36"/>
      <c r="C176" s="36"/>
      <c r="D176" s="6"/>
      <c r="E176" s="46" t="s">
        <v>501</v>
      </c>
      <c r="F176" s="47" t="s">
        <v>500</v>
      </c>
      <c r="G176" s="48">
        <v>0.2</v>
      </c>
      <c r="H176" s="46" t="s">
        <v>501</v>
      </c>
      <c r="I176" s="47" t="s">
        <v>500</v>
      </c>
      <c r="J176" s="48">
        <v>0.2</v>
      </c>
      <c r="K176" s="46" t="s">
        <v>501</v>
      </c>
      <c r="L176" s="47" t="s">
        <v>500</v>
      </c>
      <c r="M176" s="48">
        <v>0.2</v>
      </c>
      <c r="N176" s="46" t="s">
        <v>501</v>
      </c>
      <c r="O176" s="47" t="s">
        <v>500</v>
      </c>
      <c r="P176" s="48">
        <v>0.2</v>
      </c>
      <c r="Q176" s="46" t="s">
        <v>501</v>
      </c>
      <c r="R176" s="47" t="s">
        <v>500</v>
      </c>
      <c r="S176" s="48">
        <v>0.2</v>
      </c>
      <c r="T176" s="46" t="s">
        <v>501</v>
      </c>
      <c r="U176" s="47" t="s">
        <v>500</v>
      </c>
      <c r="V176" s="48">
        <v>0.1</v>
      </c>
      <c r="W176" s="46" t="s">
        <v>502</v>
      </c>
      <c r="X176" s="47" t="s">
        <v>2514</v>
      </c>
      <c r="Y176" s="48">
        <v>0.1</v>
      </c>
      <c r="Z176" s="49" t="s">
        <v>503</v>
      </c>
      <c r="AA176" s="50" t="s">
        <v>504</v>
      </c>
      <c r="AB176" s="51">
        <v>0.1</v>
      </c>
    </row>
    <row r="177" spans="1:28" ht="13.5" customHeight="1">
      <c r="A177" s="27"/>
      <c r="B177" s="44"/>
      <c r="C177" s="36"/>
      <c r="D177" s="6"/>
      <c r="E177" s="46" t="s">
        <v>506</v>
      </c>
      <c r="F177" s="47" t="s">
        <v>505</v>
      </c>
      <c r="G177" s="48">
        <v>0.3</v>
      </c>
      <c r="H177" s="46" t="s">
        <v>506</v>
      </c>
      <c r="I177" s="47" t="s">
        <v>505</v>
      </c>
      <c r="J177" s="48">
        <v>0.3</v>
      </c>
      <c r="K177" s="46" t="s">
        <v>506</v>
      </c>
      <c r="L177" s="47" t="s">
        <v>505</v>
      </c>
      <c r="M177" s="48">
        <v>0.2</v>
      </c>
      <c r="N177" s="46" t="s">
        <v>506</v>
      </c>
      <c r="O177" s="47" t="s">
        <v>505</v>
      </c>
      <c r="P177" s="48">
        <v>0.2</v>
      </c>
      <c r="Q177" s="46" t="s">
        <v>506</v>
      </c>
      <c r="R177" s="47" t="s">
        <v>505</v>
      </c>
      <c r="S177" s="48">
        <v>0.3</v>
      </c>
      <c r="T177" s="46" t="s">
        <v>506</v>
      </c>
      <c r="U177" s="47" t="s">
        <v>505</v>
      </c>
      <c r="V177" s="48">
        <v>0.3</v>
      </c>
      <c r="W177" s="46" t="s">
        <v>507</v>
      </c>
      <c r="X177" s="47" t="s">
        <v>2515</v>
      </c>
      <c r="Y177" s="48">
        <v>0.4</v>
      </c>
      <c r="Z177" s="49" t="s">
        <v>508</v>
      </c>
      <c r="AA177" s="50" t="s">
        <v>505</v>
      </c>
      <c r="AB177" s="51">
        <v>0.3</v>
      </c>
    </row>
    <row r="178" spans="1:28" ht="13.5" customHeight="1">
      <c r="A178" s="27"/>
      <c r="B178" s="44"/>
      <c r="C178" s="36"/>
      <c r="D178" s="6"/>
      <c r="E178" s="46"/>
      <c r="F178" s="47"/>
      <c r="G178" s="48"/>
      <c r="H178" s="46"/>
      <c r="I178" s="47"/>
      <c r="J178" s="48"/>
      <c r="K178" s="46"/>
      <c r="L178" s="47"/>
      <c r="M178" s="48"/>
      <c r="N178" s="46"/>
      <c r="O178" s="47"/>
      <c r="P178" s="48"/>
      <c r="Q178" s="46"/>
      <c r="R178" s="47"/>
      <c r="S178" s="48"/>
      <c r="T178" s="46"/>
      <c r="U178" s="47"/>
      <c r="V178" s="48"/>
      <c r="W178" s="46"/>
      <c r="X178" s="47"/>
      <c r="Y178" s="48"/>
      <c r="Z178" s="49" t="s">
        <v>509</v>
      </c>
      <c r="AA178" s="50" t="s">
        <v>510</v>
      </c>
      <c r="AB178" s="51">
        <v>0.1</v>
      </c>
    </row>
    <row r="179" spans="1:28" ht="13.5" customHeight="1">
      <c r="A179" s="27"/>
      <c r="B179" s="44"/>
      <c r="C179" s="36"/>
      <c r="D179" s="6"/>
      <c r="E179" s="46" t="s">
        <v>512</v>
      </c>
      <c r="F179" s="47" t="s">
        <v>511</v>
      </c>
      <c r="G179" s="48">
        <v>0.3</v>
      </c>
      <c r="H179" s="46" t="s">
        <v>512</v>
      </c>
      <c r="I179" s="47" t="s">
        <v>511</v>
      </c>
      <c r="J179" s="48">
        <v>0.4</v>
      </c>
      <c r="K179" s="46" t="s">
        <v>512</v>
      </c>
      <c r="L179" s="47" t="s">
        <v>511</v>
      </c>
      <c r="M179" s="48">
        <v>0.2</v>
      </c>
      <c r="N179" s="46" t="s">
        <v>512</v>
      </c>
      <c r="O179" s="47" t="s">
        <v>511</v>
      </c>
      <c r="P179" s="48">
        <v>0.2</v>
      </c>
      <c r="Q179" s="46" t="s">
        <v>512</v>
      </c>
      <c r="R179" s="47" t="s">
        <v>511</v>
      </c>
      <c r="S179" s="48">
        <v>0.2</v>
      </c>
      <c r="T179" s="46" t="s">
        <v>512</v>
      </c>
      <c r="U179" s="47" t="s">
        <v>511</v>
      </c>
      <c r="V179" s="48">
        <v>0.2</v>
      </c>
      <c r="W179" s="46"/>
      <c r="X179" s="47"/>
      <c r="Y179" s="48"/>
      <c r="Z179" s="49"/>
      <c r="AA179" s="50"/>
      <c r="AB179" s="51"/>
    </row>
    <row r="180" spans="1:28" ht="13.5" customHeight="1">
      <c r="A180" s="27"/>
      <c r="B180" s="44"/>
      <c r="C180" s="36"/>
      <c r="D180" s="6"/>
      <c r="E180" s="46" t="s">
        <v>513</v>
      </c>
      <c r="F180" s="47" t="s">
        <v>3030</v>
      </c>
      <c r="G180" s="48">
        <v>0.5</v>
      </c>
      <c r="H180" s="46" t="s">
        <v>513</v>
      </c>
      <c r="I180" s="47" t="s">
        <v>3030</v>
      </c>
      <c r="J180" s="48">
        <v>0.6</v>
      </c>
      <c r="K180" s="46" t="s">
        <v>513</v>
      </c>
      <c r="L180" s="47" t="s">
        <v>2516</v>
      </c>
      <c r="M180" s="48">
        <v>0.3</v>
      </c>
      <c r="N180" s="46" t="s">
        <v>513</v>
      </c>
      <c r="O180" s="47" t="s">
        <v>2516</v>
      </c>
      <c r="P180" s="48">
        <v>0.3</v>
      </c>
      <c r="Q180" s="46" t="s">
        <v>513</v>
      </c>
      <c r="R180" s="47" t="s">
        <v>514</v>
      </c>
      <c r="S180" s="48">
        <v>0.3</v>
      </c>
      <c r="T180" s="46" t="s">
        <v>513</v>
      </c>
      <c r="U180" s="47" t="s">
        <v>514</v>
      </c>
      <c r="V180" s="48">
        <v>0.2</v>
      </c>
      <c r="W180" s="46" t="s">
        <v>515</v>
      </c>
      <c r="X180" s="47" t="s">
        <v>2517</v>
      </c>
      <c r="Y180" s="48">
        <v>0.1</v>
      </c>
      <c r="Z180" s="49" t="s">
        <v>516</v>
      </c>
      <c r="AA180" s="50" t="s">
        <v>514</v>
      </c>
      <c r="AB180" s="51">
        <v>0.2</v>
      </c>
    </row>
    <row r="181" spans="1:28" ht="13.5" customHeight="1">
      <c r="A181" s="27"/>
      <c r="B181" s="44"/>
      <c r="C181" s="36"/>
      <c r="D181" s="6"/>
      <c r="E181" s="46" t="s">
        <v>518</v>
      </c>
      <c r="F181" s="47" t="s">
        <v>517</v>
      </c>
      <c r="G181" s="48">
        <v>0.3</v>
      </c>
      <c r="H181" s="46" t="s">
        <v>518</v>
      </c>
      <c r="I181" s="47" t="s">
        <v>517</v>
      </c>
      <c r="J181" s="48">
        <v>0.3</v>
      </c>
      <c r="K181" s="46" t="s">
        <v>518</v>
      </c>
      <c r="L181" s="47" t="s">
        <v>517</v>
      </c>
      <c r="M181" s="48">
        <v>0.2</v>
      </c>
      <c r="N181" s="46" t="s">
        <v>518</v>
      </c>
      <c r="O181" s="47" t="s">
        <v>517</v>
      </c>
      <c r="P181" s="48">
        <v>0.1</v>
      </c>
      <c r="Q181" s="46" t="s">
        <v>518</v>
      </c>
      <c r="R181" s="47" t="s">
        <v>517</v>
      </c>
      <c r="S181" s="48">
        <v>0.1</v>
      </c>
      <c r="T181" s="46" t="s">
        <v>518</v>
      </c>
      <c r="U181" s="47" t="s">
        <v>517</v>
      </c>
      <c r="V181" s="48">
        <v>0.1</v>
      </c>
      <c r="W181" s="46" t="s">
        <v>519</v>
      </c>
      <c r="X181" s="47" t="s">
        <v>2518</v>
      </c>
      <c r="Y181" s="48">
        <v>0.3</v>
      </c>
      <c r="Z181" s="49" t="s">
        <v>98</v>
      </c>
      <c r="AA181" s="50" t="s">
        <v>517</v>
      </c>
      <c r="AB181" s="51">
        <v>0.7</v>
      </c>
    </row>
    <row r="182" spans="1:28" ht="13.5" customHeight="1">
      <c r="A182" s="27"/>
      <c r="B182" s="44"/>
      <c r="C182" s="36"/>
      <c r="D182" s="6"/>
      <c r="E182" s="46" t="s">
        <v>521</v>
      </c>
      <c r="F182" s="47" t="s">
        <v>520</v>
      </c>
      <c r="G182" s="48">
        <v>1.3</v>
      </c>
      <c r="H182" s="46" t="s">
        <v>521</v>
      </c>
      <c r="I182" s="47" t="s">
        <v>520</v>
      </c>
      <c r="J182" s="48">
        <v>1.4</v>
      </c>
      <c r="K182" s="46" t="s">
        <v>521</v>
      </c>
      <c r="L182" s="47" t="s">
        <v>520</v>
      </c>
      <c r="M182" s="48">
        <v>1</v>
      </c>
      <c r="N182" s="46" t="s">
        <v>521</v>
      </c>
      <c r="O182" s="47" t="s">
        <v>520</v>
      </c>
      <c r="P182" s="48">
        <v>0.7</v>
      </c>
      <c r="Q182" s="46" t="s">
        <v>521</v>
      </c>
      <c r="R182" s="47" t="s">
        <v>520</v>
      </c>
      <c r="S182" s="48">
        <v>0.7</v>
      </c>
      <c r="T182" s="46" t="s">
        <v>521</v>
      </c>
      <c r="U182" s="47" t="s">
        <v>520</v>
      </c>
      <c r="V182" s="48">
        <v>0.9</v>
      </c>
      <c r="W182" s="46" t="s">
        <v>522</v>
      </c>
      <c r="X182" s="47" t="s">
        <v>2519</v>
      </c>
      <c r="Y182" s="48">
        <v>2.4</v>
      </c>
      <c r="Z182" s="49" t="s">
        <v>523</v>
      </c>
      <c r="AA182" s="50" t="s">
        <v>520</v>
      </c>
      <c r="AB182" s="51">
        <v>2.2000000000000002</v>
      </c>
    </row>
    <row r="183" spans="1:28" ht="13.5" customHeight="1">
      <c r="A183" s="27"/>
      <c r="B183" s="44"/>
      <c r="C183" s="36"/>
      <c r="D183" s="6"/>
      <c r="E183" s="46" t="s">
        <v>525</v>
      </c>
      <c r="F183" s="47" t="s">
        <v>524</v>
      </c>
      <c r="G183" s="48">
        <v>3.1</v>
      </c>
      <c r="H183" s="46" t="s">
        <v>525</v>
      </c>
      <c r="I183" s="47" t="s">
        <v>524</v>
      </c>
      <c r="J183" s="48">
        <v>2.7</v>
      </c>
      <c r="K183" s="46" t="s">
        <v>525</v>
      </c>
      <c r="L183" s="47" t="s">
        <v>524</v>
      </c>
      <c r="M183" s="48">
        <v>1.9</v>
      </c>
      <c r="N183" s="46" t="s">
        <v>525</v>
      </c>
      <c r="O183" s="47" t="s">
        <v>524</v>
      </c>
      <c r="P183" s="48">
        <v>1.7</v>
      </c>
      <c r="Q183" s="46" t="s">
        <v>525</v>
      </c>
      <c r="R183" s="47" t="s">
        <v>524</v>
      </c>
      <c r="S183" s="48">
        <v>1.3</v>
      </c>
      <c r="T183" s="46" t="s">
        <v>525</v>
      </c>
      <c r="U183" s="47" t="s">
        <v>524</v>
      </c>
      <c r="V183" s="48">
        <v>1.4</v>
      </c>
      <c r="W183" s="46"/>
      <c r="X183" s="47"/>
      <c r="Y183" s="48"/>
      <c r="Z183" s="49"/>
      <c r="AA183" s="50"/>
      <c r="AB183" s="51"/>
    </row>
    <row r="184" spans="1:28" ht="13.5" customHeight="1">
      <c r="A184" s="27"/>
      <c r="B184" s="44"/>
      <c r="C184" s="36"/>
      <c r="D184" s="6"/>
      <c r="E184" s="46" t="s">
        <v>527</v>
      </c>
      <c r="F184" s="47" t="s">
        <v>526</v>
      </c>
      <c r="G184" s="48">
        <v>1.9</v>
      </c>
      <c r="H184" s="46" t="s">
        <v>527</v>
      </c>
      <c r="I184" s="47" t="s">
        <v>526</v>
      </c>
      <c r="J184" s="48">
        <v>2.4</v>
      </c>
      <c r="K184" s="46" t="s">
        <v>527</v>
      </c>
      <c r="L184" s="47" t="s">
        <v>526</v>
      </c>
      <c r="M184" s="48">
        <v>1.7</v>
      </c>
      <c r="N184" s="46" t="s">
        <v>527</v>
      </c>
      <c r="O184" s="47" t="s">
        <v>526</v>
      </c>
      <c r="P184" s="48">
        <v>1.1000000000000001</v>
      </c>
      <c r="Q184" s="46" t="s">
        <v>527</v>
      </c>
      <c r="R184" s="47" t="s">
        <v>526</v>
      </c>
      <c r="S184" s="48">
        <v>0.9</v>
      </c>
      <c r="T184" s="46" t="s">
        <v>527</v>
      </c>
      <c r="U184" s="47" t="s">
        <v>526</v>
      </c>
      <c r="V184" s="48">
        <v>0.7</v>
      </c>
      <c r="W184" s="46" t="s">
        <v>528</v>
      </c>
      <c r="X184" s="47" t="s">
        <v>2520</v>
      </c>
      <c r="Y184" s="48">
        <v>1.1000000000000001</v>
      </c>
      <c r="Z184" s="49" t="s">
        <v>529</v>
      </c>
      <c r="AA184" s="50" t="s">
        <v>530</v>
      </c>
      <c r="AB184" s="51">
        <v>0.5</v>
      </c>
    </row>
    <row r="185" spans="1:28" ht="13.5" customHeight="1">
      <c r="A185" s="27"/>
      <c r="B185" s="44"/>
      <c r="C185" s="36"/>
      <c r="D185" s="6"/>
      <c r="E185" s="46" t="s">
        <v>532</v>
      </c>
      <c r="F185" s="47" t="s">
        <v>531</v>
      </c>
      <c r="G185" s="48">
        <v>3.1</v>
      </c>
      <c r="H185" s="46" t="s">
        <v>532</v>
      </c>
      <c r="I185" s="47" t="s">
        <v>531</v>
      </c>
      <c r="J185" s="48">
        <v>3.2</v>
      </c>
      <c r="K185" s="46" t="s">
        <v>532</v>
      </c>
      <c r="L185" s="47" t="s">
        <v>531</v>
      </c>
      <c r="M185" s="48">
        <v>2.1</v>
      </c>
      <c r="N185" s="46" t="s">
        <v>532</v>
      </c>
      <c r="O185" s="47" t="s">
        <v>531</v>
      </c>
      <c r="P185" s="48">
        <v>1.5</v>
      </c>
      <c r="Q185" s="46" t="s">
        <v>532</v>
      </c>
      <c r="R185" s="47" t="s">
        <v>531</v>
      </c>
      <c r="S185" s="48">
        <v>1</v>
      </c>
      <c r="T185" s="46" t="s">
        <v>532</v>
      </c>
      <c r="U185" s="47" t="s">
        <v>531</v>
      </c>
      <c r="V185" s="48">
        <v>1</v>
      </c>
      <c r="W185" s="46" t="s">
        <v>533</v>
      </c>
      <c r="X185" s="47" t="s">
        <v>2521</v>
      </c>
      <c r="Y185" s="48">
        <v>1.1000000000000001</v>
      </c>
      <c r="Z185" s="49" t="s">
        <v>534</v>
      </c>
      <c r="AA185" s="50" t="s">
        <v>531</v>
      </c>
      <c r="AB185" s="51">
        <v>0.3</v>
      </c>
    </row>
    <row r="186" spans="1:28" ht="13.5" customHeight="1">
      <c r="A186" s="27"/>
      <c r="B186" s="44"/>
      <c r="C186" s="36"/>
      <c r="D186" s="6"/>
      <c r="E186" s="46" t="s">
        <v>496</v>
      </c>
      <c r="F186" s="47" t="s">
        <v>535</v>
      </c>
      <c r="G186" s="48">
        <v>0.1</v>
      </c>
      <c r="H186" s="46" t="s">
        <v>496</v>
      </c>
      <c r="I186" s="47" t="s">
        <v>535</v>
      </c>
      <c r="J186" s="48">
        <v>0.1</v>
      </c>
      <c r="K186" s="46" t="s">
        <v>496</v>
      </c>
      <c r="L186" s="47" t="s">
        <v>2522</v>
      </c>
      <c r="M186" s="48">
        <v>0.2</v>
      </c>
      <c r="N186" s="46" t="s">
        <v>496</v>
      </c>
      <c r="O186" s="47" t="s">
        <v>2522</v>
      </c>
      <c r="P186" s="48">
        <v>0.1</v>
      </c>
      <c r="Q186" s="46"/>
      <c r="R186" s="47"/>
      <c r="S186" s="48"/>
      <c r="T186" s="46"/>
      <c r="U186" s="47"/>
      <c r="V186" s="48"/>
      <c r="W186" s="46"/>
      <c r="X186" s="47"/>
      <c r="Y186" s="48"/>
      <c r="Z186" s="49"/>
      <c r="AA186" s="50"/>
      <c r="AB186" s="51"/>
    </row>
    <row r="187" spans="1:28" ht="13.5" customHeight="1">
      <c r="A187" s="27"/>
      <c r="B187" s="44"/>
      <c r="C187" s="36"/>
      <c r="D187" s="6"/>
      <c r="E187" s="46" t="s">
        <v>3031</v>
      </c>
      <c r="F187" s="47" t="s">
        <v>536</v>
      </c>
      <c r="G187" s="48">
        <v>0.4</v>
      </c>
      <c r="H187" s="46" t="s">
        <v>3031</v>
      </c>
      <c r="I187" s="47" t="s">
        <v>536</v>
      </c>
      <c r="J187" s="48">
        <v>0.3</v>
      </c>
      <c r="K187" s="46" t="s">
        <v>537</v>
      </c>
      <c r="L187" s="47" t="s">
        <v>536</v>
      </c>
      <c r="M187" s="48">
        <v>0.3</v>
      </c>
      <c r="N187" s="46" t="s">
        <v>537</v>
      </c>
      <c r="O187" s="47" t="s">
        <v>536</v>
      </c>
      <c r="P187" s="48">
        <v>0.3</v>
      </c>
      <c r="Q187" s="46" t="s">
        <v>537</v>
      </c>
      <c r="R187" s="47" t="s">
        <v>536</v>
      </c>
      <c r="S187" s="48">
        <v>0.4</v>
      </c>
      <c r="T187" s="46" t="s">
        <v>537</v>
      </c>
      <c r="U187" s="47" t="s">
        <v>536</v>
      </c>
      <c r="V187" s="48">
        <v>0.4</v>
      </c>
      <c r="W187" s="46"/>
      <c r="X187" s="47"/>
      <c r="Y187" s="48"/>
      <c r="Z187" s="49"/>
      <c r="AA187" s="50"/>
      <c r="AB187" s="51"/>
    </row>
    <row r="188" spans="1:28" ht="13.5" customHeight="1">
      <c r="A188" s="27"/>
      <c r="B188" s="44"/>
      <c r="C188" s="36"/>
      <c r="D188" s="6"/>
      <c r="E188" s="46"/>
      <c r="F188" s="56"/>
      <c r="G188" s="48"/>
      <c r="H188" s="46"/>
      <c r="I188" s="56"/>
      <c r="J188" s="48"/>
      <c r="K188" s="46"/>
      <c r="L188" s="56"/>
      <c r="M188" s="48"/>
      <c r="N188" s="46"/>
      <c r="O188" s="56"/>
      <c r="P188" s="48"/>
      <c r="Q188" s="57"/>
      <c r="R188" s="56"/>
      <c r="S188" s="58"/>
      <c r="T188" s="57"/>
      <c r="U188" s="56"/>
      <c r="V188" s="58"/>
      <c r="W188" s="57"/>
      <c r="X188" s="56"/>
      <c r="Y188" s="58"/>
      <c r="Z188" s="59"/>
      <c r="AA188" s="60"/>
      <c r="AB188" s="61"/>
    </row>
    <row r="189" spans="1:28" ht="13.5" customHeight="1">
      <c r="A189" s="27"/>
      <c r="B189" s="44"/>
      <c r="C189" s="82"/>
      <c r="D189" s="83"/>
      <c r="E189" s="46" t="s">
        <v>537</v>
      </c>
      <c r="F189" s="75" t="s">
        <v>3032</v>
      </c>
      <c r="G189" s="48">
        <v>0.4</v>
      </c>
      <c r="H189" s="46" t="s">
        <v>537</v>
      </c>
      <c r="I189" s="75" t="s">
        <v>3032</v>
      </c>
      <c r="J189" s="48">
        <v>0.5</v>
      </c>
      <c r="K189" s="46"/>
      <c r="L189" s="75"/>
      <c r="M189" s="48"/>
      <c r="N189" s="46"/>
      <c r="O189" s="75"/>
      <c r="P189" s="48"/>
      <c r="Q189" s="76"/>
      <c r="R189" s="75"/>
      <c r="S189" s="77"/>
      <c r="T189" s="76"/>
      <c r="U189" s="75"/>
      <c r="V189" s="77"/>
      <c r="W189" s="76"/>
      <c r="X189" s="75"/>
      <c r="Y189" s="77"/>
      <c r="Z189" s="78"/>
      <c r="AA189" s="79"/>
      <c r="AB189" s="80"/>
    </row>
    <row r="190" spans="1:28" ht="13.5" customHeight="1">
      <c r="A190" s="27"/>
      <c r="B190" s="84" t="s">
        <v>538</v>
      </c>
      <c r="C190" s="21"/>
      <c r="D190" s="6" t="s">
        <v>539</v>
      </c>
      <c r="E190" s="31" t="s">
        <v>540</v>
      </c>
      <c r="F190" s="63"/>
      <c r="G190" s="33">
        <f>SUM(G191,G198)</f>
        <v>9.6999999999999993</v>
      </c>
      <c r="H190" s="31" t="s">
        <v>540</v>
      </c>
      <c r="I190" s="63"/>
      <c r="J190" s="33">
        <f>SUM(J191,J198)</f>
        <v>10.3</v>
      </c>
      <c r="K190" s="31" t="s">
        <v>540</v>
      </c>
      <c r="L190" s="63"/>
      <c r="M190" s="33">
        <f>SUM(M191,M198)</f>
        <v>8.8999999999999986</v>
      </c>
      <c r="N190" s="31" t="s">
        <v>540</v>
      </c>
      <c r="O190" s="63"/>
      <c r="P190" s="33">
        <f>SUM(P191,P198)</f>
        <v>8.5</v>
      </c>
      <c r="Q190" s="31" t="s">
        <v>540</v>
      </c>
      <c r="R190" s="63"/>
      <c r="S190" s="33">
        <f>SUM(S191,S198)</f>
        <v>9</v>
      </c>
      <c r="T190" s="31" t="s">
        <v>540</v>
      </c>
      <c r="U190" s="63"/>
      <c r="V190" s="33">
        <f>SUM(V191,V198)</f>
        <v>8.4999999999999982</v>
      </c>
      <c r="W190" s="62"/>
      <c r="X190" s="63"/>
      <c r="Y190" s="33">
        <f>SUM(Y191,Y198)</f>
        <v>7.6</v>
      </c>
      <c r="Z190" s="65"/>
      <c r="AA190" s="66"/>
      <c r="AB190" s="33">
        <f>SUM(AB191,AB198)</f>
        <v>7.6</v>
      </c>
    </row>
    <row r="191" spans="1:28" ht="13.5" customHeight="1">
      <c r="A191" s="27"/>
      <c r="B191" s="44"/>
      <c r="C191" s="28" t="s">
        <v>541</v>
      </c>
      <c r="D191" s="30" t="s">
        <v>542</v>
      </c>
      <c r="E191" s="37" t="s">
        <v>543</v>
      </c>
      <c r="F191" s="41"/>
      <c r="G191" s="39">
        <f>SUM(G192:G197)</f>
        <v>3.5</v>
      </c>
      <c r="H191" s="37" t="s">
        <v>543</v>
      </c>
      <c r="I191" s="41"/>
      <c r="J191" s="39">
        <f>SUM(J192:J197)</f>
        <v>3.6999999999999997</v>
      </c>
      <c r="K191" s="37" t="s">
        <v>543</v>
      </c>
      <c r="L191" s="41"/>
      <c r="M191" s="39">
        <f>SUM(M192:M197)</f>
        <v>3.0999999999999996</v>
      </c>
      <c r="N191" s="37" t="s">
        <v>543</v>
      </c>
      <c r="O191" s="41"/>
      <c r="P191" s="39">
        <f>SUM(P192:P197)</f>
        <v>3</v>
      </c>
      <c r="Q191" s="37" t="s">
        <v>543</v>
      </c>
      <c r="R191" s="41"/>
      <c r="S191" s="39">
        <f>SUM(S192:S197)</f>
        <v>3.3999999999999995</v>
      </c>
      <c r="T191" s="37" t="s">
        <v>543</v>
      </c>
      <c r="U191" s="41"/>
      <c r="V191" s="39">
        <f>SUM(V192:V197)</f>
        <v>2.9999999999999996</v>
      </c>
      <c r="W191" s="40" t="s">
        <v>2523</v>
      </c>
      <c r="X191" s="41" t="s">
        <v>2524</v>
      </c>
      <c r="Y191" s="39">
        <f>SUM(Y192:Y197)</f>
        <v>1.7000000000000002</v>
      </c>
      <c r="Z191" s="42"/>
      <c r="AA191" s="43"/>
      <c r="AB191" s="39">
        <f>SUM(AB192:AB197)</f>
        <v>1.7000000000000002</v>
      </c>
    </row>
    <row r="192" spans="1:28" ht="13.5" customHeight="1">
      <c r="A192" s="27"/>
      <c r="B192" s="44"/>
      <c r="C192" s="36"/>
      <c r="D192" s="6"/>
      <c r="E192" s="46" t="s">
        <v>545</v>
      </c>
      <c r="F192" s="47" t="s">
        <v>544</v>
      </c>
      <c r="G192" s="48">
        <v>2.6</v>
      </c>
      <c r="H192" s="46" t="s">
        <v>545</v>
      </c>
      <c r="I192" s="47" t="s">
        <v>544</v>
      </c>
      <c r="J192" s="48">
        <v>2.8</v>
      </c>
      <c r="K192" s="46" t="s">
        <v>545</v>
      </c>
      <c r="L192" s="47" t="s">
        <v>544</v>
      </c>
      <c r="M192" s="48">
        <v>2.4</v>
      </c>
      <c r="N192" s="46" t="s">
        <v>545</v>
      </c>
      <c r="O192" s="47" t="s">
        <v>544</v>
      </c>
      <c r="P192" s="48">
        <v>2.2999999999999998</v>
      </c>
      <c r="Q192" s="46" t="s">
        <v>545</v>
      </c>
      <c r="R192" s="47" t="s">
        <v>544</v>
      </c>
      <c r="S192" s="48">
        <v>2.2999999999999998</v>
      </c>
      <c r="T192" s="46" t="s">
        <v>545</v>
      </c>
      <c r="U192" s="47" t="s">
        <v>544</v>
      </c>
      <c r="V192" s="48">
        <v>2</v>
      </c>
      <c r="W192" s="46" t="s">
        <v>80</v>
      </c>
      <c r="X192" s="47" t="s">
        <v>2525</v>
      </c>
      <c r="Y192" s="48">
        <v>1</v>
      </c>
      <c r="Z192" s="49" t="s">
        <v>546</v>
      </c>
      <c r="AA192" s="50" t="s">
        <v>544</v>
      </c>
      <c r="AB192" s="51">
        <v>1</v>
      </c>
    </row>
    <row r="193" spans="1:28" ht="13.5" customHeight="1">
      <c r="A193" s="27"/>
      <c r="B193" s="44"/>
      <c r="C193" s="36"/>
      <c r="D193" s="6"/>
      <c r="E193" s="46"/>
      <c r="F193" s="47"/>
      <c r="G193" s="48"/>
      <c r="H193" s="46"/>
      <c r="I193" s="47"/>
      <c r="J193" s="48"/>
      <c r="K193" s="46"/>
      <c r="L193" s="47"/>
      <c r="M193" s="48"/>
      <c r="N193" s="46"/>
      <c r="O193" s="47"/>
      <c r="P193" s="48"/>
      <c r="Q193" s="46" t="s">
        <v>547</v>
      </c>
      <c r="R193" s="47" t="s">
        <v>548</v>
      </c>
      <c r="S193" s="48">
        <v>0.3</v>
      </c>
      <c r="T193" s="46" t="s">
        <v>547</v>
      </c>
      <c r="U193" s="47" t="s">
        <v>548</v>
      </c>
      <c r="V193" s="48">
        <v>0.4</v>
      </c>
      <c r="W193" s="46" t="s">
        <v>84</v>
      </c>
      <c r="X193" s="47" t="s">
        <v>2526</v>
      </c>
      <c r="Y193" s="48">
        <v>0.1</v>
      </c>
      <c r="Z193" s="49" t="s">
        <v>549</v>
      </c>
      <c r="AA193" s="50" t="s">
        <v>548</v>
      </c>
      <c r="AB193" s="51">
        <v>0.1</v>
      </c>
    </row>
    <row r="194" spans="1:28" ht="13.5" customHeight="1">
      <c r="A194" s="27"/>
      <c r="B194" s="44"/>
      <c r="C194" s="36"/>
      <c r="D194" s="6"/>
      <c r="E194" s="46" t="s">
        <v>547</v>
      </c>
      <c r="F194" s="47" t="s">
        <v>550</v>
      </c>
      <c r="G194" s="48">
        <v>0.9</v>
      </c>
      <c r="H194" s="46" t="s">
        <v>547</v>
      </c>
      <c r="I194" s="47" t="s">
        <v>550</v>
      </c>
      <c r="J194" s="48">
        <v>0.9</v>
      </c>
      <c r="K194" s="46" t="s">
        <v>547</v>
      </c>
      <c r="L194" s="47" t="s">
        <v>550</v>
      </c>
      <c r="M194" s="48">
        <v>0.7</v>
      </c>
      <c r="N194" s="46" t="s">
        <v>547</v>
      </c>
      <c r="O194" s="47" t="s">
        <v>550</v>
      </c>
      <c r="P194" s="48">
        <v>0.7</v>
      </c>
      <c r="Q194" s="46" t="s">
        <v>551</v>
      </c>
      <c r="R194" s="47" t="s">
        <v>550</v>
      </c>
      <c r="S194" s="48">
        <v>0.4</v>
      </c>
      <c r="T194" s="46" t="s">
        <v>551</v>
      </c>
      <c r="U194" s="47" t="s">
        <v>550</v>
      </c>
      <c r="V194" s="48">
        <v>0.3</v>
      </c>
      <c r="W194" s="46" t="s">
        <v>86</v>
      </c>
      <c r="X194" s="47" t="s">
        <v>2527</v>
      </c>
      <c r="Y194" s="48">
        <v>0.5</v>
      </c>
      <c r="Z194" s="49" t="s">
        <v>552</v>
      </c>
      <c r="AA194" s="50" t="s">
        <v>553</v>
      </c>
      <c r="AB194" s="51">
        <v>0.5</v>
      </c>
    </row>
    <row r="195" spans="1:28" ht="13.5" customHeight="1">
      <c r="A195" s="27"/>
      <c r="B195" s="44"/>
      <c r="C195" s="36"/>
      <c r="D195" s="6"/>
      <c r="E195" s="46"/>
      <c r="F195" s="47"/>
      <c r="G195" s="48"/>
      <c r="H195" s="46"/>
      <c r="I195" s="47"/>
      <c r="J195" s="48"/>
      <c r="K195" s="46"/>
      <c r="L195" s="47"/>
      <c r="M195" s="48"/>
      <c r="N195" s="46"/>
      <c r="O195" s="47"/>
      <c r="P195" s="48"/>
      <c r="Q195" s="46"/>
      <c r="R195" s="47"/>
      <c r="S195" s="48"/>
      <c r="T195" s="46"/>
      <c r="U195" s="47"/>
      <c r="V195" s="48"/>
      <c r="W195" s="46" t="s">
        <v>88</v>
      </c>
      <c r="X195" s="47" t="s">
        <v>2528</v>
      </c>
      <c r="Y195" s="48">
        <v>0.1</v>
      </c>
      <c r="Z195" s="49" t="s">
        <v>554</v>
      </c>
      <c r="AA195" s="50" t="s">
        <v>555</v>
      </c>
      <c r="AB195" s="51">
        <v>0.1</v>
      </c>
    </row>
    <row r="196" spans="1:28" ht="13.5" customHeight="1">
      <c r="A196" s="27"/>
      <c r="B196" s="44"/>
      <c r="C196" s="36"/>
      <c r="D196" s="6"/>
      <c r="E196" s="46"/>
      <c r="F196" s="47"/>
      <c r="G196" s="48"/>
      <c r="H196" s="46"/>
      <c r="I196" s="47"/>
      <c r="J196" s="48"/>
      <c r="K196" s="46"/>
      <c r="L196" s="47"/>
      <c r="M196" s="48"/>
      <c r="N196" s="46"/>
      <c r="O196" s="47"/>
      <c r="P196" s="48"/>
      <c r="Q196" s="46"/>
      <c r="R196" s="47"/>
      <c r="S196" s="48"/>
      <c r="T196" s="46"/>
      <c r="U196" s="47"/>
      <c r="V196" s="48"/>
      <c r="W196" s="46"/>
      <c r="X196" s="47"/>
      <c r="Y196" s="48"/>
      <c r="Z196" s="49"/>
      <c r="AA196" s="50"/>
      <c r="AB196" s="51"/>
    </row>
    <row r="197" spans="1:28" ht="13.5" customHeight="1">
      <c r="A197" s="27"/>
      <c r="B197" s="44"/>
      <c r="C197" s="36"/>
      <c r="D197" s="6"/>
      <c r="E197" s="46"/>
      <c r="F197" s="47"/>
      <c r="G197" s="48"/>
      <c r="H197" s="46"/>
      <c r="I197" s="47"/>
      <c r="J197" s="48"/>
      <c r="K197" s="46"/>
      <c r="L197" s="47"/>
      <c r="M197" s="48"/>
      <c r="N197" s="46"/>
      <c r="O197" s="47"/>
      <c r="P197" s="48"/>
      <c r="Q197" s="46" t="s">
        <v>556</v>
      </c>
      <c r="R197" s="47" t="s">
        <v>557</v>
      </c>
      <c r="S197" s="77">
        <v>0.4</v>
      </c>
      <c r="T197" s="46" t="s">
        <v>556</v>
      </c>
      <c r="U197" s="47" t="s">
        <v>557</v>
      </c>
      <c r="V197" s="77">
        <v>0.3</v>
      </c>
      <c r="W197" s="76"/>
      <c r="X197" s="75"/>
      <c r="Y197" s="77"/>
      <c r="Z197" s="78"/>
      <c r="AA197" s="79"/>
      <c r="AB197" s="80"/>
    </row>
    <row r="198" spans="1:28" ht="13.5" customHeight="1">
      <c r="A198" s="27"/>
      <c r="B198" s="44"/>
      <c r="C198" s="28" t="s">
        <v>558</v>
      </c>
      <c r="D198" s="30" t="s">
        <v>559</v>
      </c>
      <c r="E198" s="37" t="s">
        <v>560</v>
      </c>
      <c r="F198" s="71"/>
      <c r="G198" s="39">
        <f>SUM(G199:G208)</f>
        <v>6.2</v>
      </c>
      <c r="H198" s="37" t="s">
        <v>560</v>
      </c>
      <c r="I198" s="71"/>
      <c r="J198" s="39">
        <f>SUM(J199:J208)</f>
        <v>6.6000000000000005</v>
      </c>
      <c r="K198" s="37" t="s">
        <v>560</v>
      </c>
      <c r="L198" s="71"/>
      <c r="M198" s="39">
        <f>SUM(M199:M208)</f>
        <v>5.8</v>
      </c>
      <c r="N198" s="37" t="s">
        <v>560</v>
      </c>
      <c r="O198" s="71"/>
      <c r="P198" s="39">
        <f>SUM(P199:P208)</f>
        <v>5.5</v>
      </c>
      <c r="Q198" s="37" t="s">
        <v>560</v>
      </c>
      <c r="R198" s="71"/>
      <c r="S198" s="39">
        <f>SUM(S199:S208)</f>
        <v>5.6</v>
      </c>
      <c r="T198" s="37" t="s">
        <v>560</v>
      </c>
      <c r="U198" s="71"/>
      <c r="V198" s="39">
        <f>SUM(V199:V208)</f>
        <v>5.4999999999999991</v>
      </c>
      <c r="W198" s="72"/>
      <c r="X198" s="71"/>
      <c r="Y198" s="39">
        <f>SUM(Y199:Y208)</f>
        <v>5.8999999999999995</v>
      </c>
      <c r="Z198" s="73"/>
      <c r="AA198" s="74"/>
      <c r="AB198" s="39">
        <f>SUM(AB199:AB208)</f>
        <v>5.8999999999999995</v>
      </c>
    </row>
    <row r="199" spans="1:28" ht="13.5" customHeight="1">
      <c r="A199" s="27"/>
      <c r="B199" s="44"/>
      <c r="C199" s="44"/>
      <c r="D199" s="45"/>
      <c r="E199" s="46" t="s">
        <v>561</v>
      </c>
      <c r="F199" s="47" t="s">
        <v>3029</v>
      </c>
      <c r="G199" s="48">
        <v>1.4</v>
      </c>
      <c r="H199" s="46" t="s">
        <v>561</v>
      </c>
      <c r="I199" s="47" t="s">
        <v>3029</v>
      </c>
      <c r="J199" s="48">
        <v>1.9</v>
      </c>
      <c r="K199" s="46" t="s">
        <v>561</v>
      </c>
      <c r="L199" s="47" t="s">
        <v>2529</v>
      </c>
      <c r="M199" s="48">
        <v>1.7</v>
      </c>
      <c r="N199" s="46" t="s">
        <v>561</v>
      </c>
      <c r="O199" s="47" t="s">
        <v>2529</v>
      </c>
      <c r="P199" s="48">
        <v>1.7</v>
      </c>
      <c r="Q199" s="46" t="s">
        <v>561</v>
      </c>
      <c r="R199" s="47" t="s">
        <v>562</v>
      </c>
      <c r="S199" s="48">
        <v>1.9</v>
      </c>
      <c r="T199" s="46" t="s">
        <v>561</v>
      </c>
      <c r="U199" s="47" t="s">
        <v>562</v>
      </c>
      <c r="V199" s="48">
        <v>1.9</v>
      </c>
      <c r="W199" s="46" t="s">
        <v>563</v>
      </c>
      <c r="X199" s="47" t="s">
        <v>2530</v>
      </c>
      <c r="Y199" s="48">
        <v>2.7</v>
      </c>
      <c r="Z199" s="49" t="s">
        <v>564</v>
      </c>
      <c r="AA199" s="50" t="s">
        <v>565</v>
      </c>
      <c r="AB199" s="51">
        <v>2.2999999999999998</v>
      </c>
    </row>
    <row r="200" spans="1:28" ht="13.5" customHeight="1">
      <c r="A200" s="27"/>
      <c r="B200" s="44"/>
      <c r="C200" s="36"/>
      <c r="D200" s="6"/>
      <c r="E200" s="46" t="s">
        <v>567</v>
      </c>
      <c r="F200" s="47" t="s">
        <v>566</v>
      </c>
      <c r="G200" s="48">
        <v>1.3</v>
      </c>
      <c r="H200" s="46" t="s">
        <v>567</v>
      </c>
      <c r="I200" s="47" t="s">
        <v>566</v>
      </c>
      <c r="J200" s="48">
        <v>1.3</v>
      </c>
      <c r="K200" s="46" t="s">
        <v>567</v>
      </c>
      <c r="L200" s="47" t="s">
        <v>566</v>
      </c>
      <c r="M200" s="48">
        <v>1</v>
      </c>
      <c r="N200" s="46" t="s">
        <v>567</v>
      </c>
      <c r="O200" s="47" t="s">
        <v>566</v>
      </c>
      <c r="P200" s="48">
        <v>0.8</v>
      </c>
      <c r="Q200" s="46" t="s">
        <v>567</v>
      </c>
      <c r="R200" s="47" t="s">
        <v>566</v>
      </c>
      <c r="S200" s="48">
        <v>0.5</v>
      </c>
      <c r="T200" s="46" t="s">
        <v>567</v>
      </c>
      <c r="U200" s="47" t="s">
        <v>566</v>
      </c>
      <c r="V200" s="48">
        <v>0.5</v>
      </c>
      <c r="W200" s="46" t="s">
        <v>568</v>
      </c>
      <c r="X200" s="47" t="s">
        <v>2531</v>
      </c>
      <c r="Y200" s="48">
        <v>0.4</v>
      </c>
      <c r="Z200" s="49" t="s">
        <v>569</v>
      </c>
      <c r="AA200" s="50" t="s">
        <v>566</v>
      </c>
      <c r="AB200" s="51">
        <v>0.4</v>
      </c>
    </row>
    <row r="201" spans="1:28" ht="13.5" customHeight="1">
      <c r="A201" s="27"/>
      <c r="B201" s="44"/>
      <c r="C201" s="36"/>
      <c r="D201" s="6"/>
      <c r="E201" s="46"/>
      <c r="F201" s="47"/>
      <c r="G201" s="48"/>
      <c r="H201" s="46"/>
      <c r="I201" s="47"/>
      <c r="J201" s="48"/>
      <c r="K201" s="46" t="s">
        <v>571</v>
      </c>
      <c r="L201" s="47" t="s">
        <v>570</v>
      </c>
      <c r="M201" s="48">
        <v>0.3</v>
      </c>
      <c r="N201" s="46" t="s">
        <v>571</v>
      </c>
      <c r="O201" s="47" t="s">
        <v>570</v>
      </c>
      <c r="P201" s="48">
        <v>0.8</v>
      </c>
      <c r="Q201" s="46" t="s">
        <v>571</v>
      </c>
      <c r="R201" s="47" t="s">
        <v>570</v>
      </c>
      <c r="S201" s="48">
        <v>0.7</v>
      </c>
      <c r="T201" s="46" t="s">
        <v>571</v>
      </c>
      <c r="U201" s="47" t="s">
        <v>570</v>
      </c>
      <c r="V201" s="48">
        <v>0.7</v>
      </c>
      <c r="W201" s="46" t="s">
        <v>572</v>
      </c>
      <c r="X201" s="47" t="s">
        <v>2532</v>
      </c>
      <c r="Y201" s="48">
        <v>0.7</v>
      </c>
      <c r="Z201" s="49" t="s">
        <v>573</v>
      </c>
      <c r="AA201" s="50" t="s">
        <v>570</v>
      </c>
      <c r="AB201" s="51">
        <v>0.7</v>
      </c>
    </row>
    <row r="202" spans="1:28" ht="13.5" customHeight="1">
      <c r="A202" s="27"/>
      <c r="B202" s="44"/>
      <c r="C202" s="36"/>
      <c r="D202" s="6"/>
      <c r="E202" s="46" t="s">
        <v>575</v>
      </c>
      <c r="F202" s="47" t="s">
        <v>574</v>
      </c>
      <c r="G202" s="48">
        <v>1.6</v>
      </c>
      <c r="H202" s="46" t="s">
        <v>575</v>
      </c>
      <c r="I202" s="47" t="s">
        <v>574</v>
      </c>
      <c r="J202" s="48">
        <v>1.6</v>
      </c>
      <c r="K202" s="46" t="s">
        <v>575</v>
      </c>
      <c r="L202" s="47" t="s">
        <v>574</v>
      </c>
      <c r="M202" s="48">
        <v>1.8</v>
      </c>
      <c r="N202" s="46" t="s">
        <v>575</v>
      </c>
      <c r="O202" s="47" t="s">
        <v>574</v>
      </c>
      <c r="P202" s="48">
        <v>1.2</v>
      </c>
      <c r="Q202" s="46" t="s">
        <v>575</v>
      </c>
      <c r="R202" s="47" t="s">
        <v>574</v>
      </c>
      <c r="S202" s="48">
        <v>1.3</v>
      </c>
      <c r="T202" s="46" t="s">
        <v>575</v>
      </c>
      <c r="U202" s="47" t="s">
        <v>574</v>
      </c>
      <c r="V202" s="48">
        <v>1.3</v>
      </c>
      <c r="W202" s="46" t="s">
        <v>99</v>
      </c>
      <c r="X202" s="47" t="s">
        <v>2533</v>
      </c>
      <c r="Y202" s="48">
        <v>0.5</v>
      </c>
      <c r="Z202" s="49" t="s">
        <v>576</v>
      </c>
      <c r="AA202" s="50" t="s">
        <v>577</v>
      </c>
      <c r="AB202" s="51">
        <v>0.4</v>
      </c>
    </row>
    <row r="203" spans="1:28" ht="13.5" customHeight="1">
      <c r="A203" s="27"/>
      <c r="B203" s="44"/>
      <c r="C203" s="36"/>
      <c r="D203" s="6"/>
      <c r="E203" s="46"/>
      <c r="F203" s="47"/>
      <c r="G203" s="48"/>
      <c r="H203" s="46"/>
      <c r="I203" s="47"/>
      <c r="J203" s="48"/>
      <c r="K203" s="46"/>
      <c r="L203" s="47"/>
      <c r="M203" s="48"/>
      <c r="N203" s="46"/>
      <c r="O203" s="47"/>
      <c r="P203" s="48"/>
      <c r="Q203" s="46"/>
      <c r="R203" s="47"/>
      <c r="S203" s="48"/>
      <c r="T203" s="46"/>
      <c r="U203" s="47"/>
      <c r="V203" s="48"/>
      <c r="W203" s="46" t="s">
        <v>102</v>
      </c>
      <c r="X203" s="47" t="s">
        <v>2534</v>
      </c>
      <c r="Y203" s="48">
        <v>0.3</v>
      </c>
      <c r="Z203" s="49" t="s">
        <v>578</v>
      </c>
      <c r="AA203" s="50" t="s">
        <v>579</v>
      </c>
      <c r="AB203" s="51">
        <v>0.3</v>
      </c>
    </row>
    <row r="204" spans="1:28" ht="13.5" customHeight="1">
      <c r="A204" s="27"/>
      <c r="B204" s="44"/>
      <c r="C204" s="36"/>
      <c r="D204" s="6"/>
      <c r="E204" s="46" t="s">
        <v>581</v>
      </c>
      <c r="F204" s="47" t="s">
        <v>580</v>
      </c>
      <c r="G204" s="48">
        <v>0.8</v>
      </c>
      <c r="H204" s="46" t="s">
        <v>581</v>
      </c>
      <c r="I204" s="47" t="s">
        <v>580</v>
      </c>
      <c r="J204" s="48">
        <v>0.8</v>
      </c>
      <c r="K204" s="46" t="s">
        <v>581</v>
      </c>
      <c r="L204" s="47" t="s">
        <v>580</v>
      </c>
      <c r="M204" s="48">
        <v>0.7</v>
      </c>
      <c r="N204" s="46" t="s">
        <v>581</v>
      </c>
      <c r="O204" s="47" t="s">
        <v>580</v>
      </c>
      <c r="P204" s="48">
        <v>0.7</v>
      </c>
      <c r="Q204" s="46" t="s">
        <v>581</v>
      </c>
      <c r="R204" s="47" t="s">
        <v>580</v>
      </c>
      <c r="S204" s="48">
        <v>0.9</v>
      </c>
      <c r="T204" s="46" t="s">
        <v>581</v>
      </c>
      <c r="U204" s="47" t="s">
        <v>580</v>
      </c>
      <c r="V204" s="48">
        <v>0.8</v>
      </c>
      <c r="W204" s="46" t="s">
        <v>582</v>
      </c>
      <c r="X204" s="47" t="s">
        <v>2535</v>
      </c>
      <c r="Y204" s="48">
        <v>0.7</v>
      </c>
      <c r="Z204" s="49" t="s">
        <v>583</v>
      </c>
      <c r="AA204" s="50" t="s">
        <v>580</v>
      </c>
      <c r="AB204" s="51">
        <v>0.5</v>
      </c>
    </row>
    <row r="205" spans="1:28" ht="13.5" customHeight="1">
      <c r="A205" s="27"/>
      <c r="B205" s="44"/>
      <c r="C205" s="36"/>
      <c r="D205" s="6"/>
      <c r="E205" s="46"/>
      <c r="F205" s="47"/>
      <c r="G205" s="48"/>
      <c r="H205" s="46"/>
      <c r="I205" s="47"/>
      <c r="J205" s="48"/>
      <c r="K205" s="46"/>
      <c r="L205" s="47"/>
      <c r="M205" s="48"/>
      <c r="N205" s="46"/>
      <c r="O205" s="47"/>
      <c r="P205" s="48"/>
      <c r="Q205" s="46"/>
      <c r="R205" s="47"/>
      <c r="S205" s="48"/>
      <c r="T205" s="46"/>
      <c r="U205" s="47"/>
      <c r="V205" s="48"/>
      <c r="W205" s="46"/>
      <c r="X205" s="47"/>
      <c r="Y205" s="48"/>
      <c r="Z205" s="49"/>
      <c r="AA205" s="50"/>
      <c r="AB205" s="51"/>
    </row>
    <row r="206" spans="1:28" ht="13.5" customHeight="1">
      <c r="A206" s="27"/>
      <c r="B206" s="44"/>
      <c r="C206" s="36"/>
      <c r="D206" s="6"/>
      <c r="E206" s="46" t="s">
        <v>585</v>
      </c>
      <c r="F206" s="47" t="s">
        <v>584</v>
      </c>
      <c r="G206" s="48">
        <v>0.5</v>
      </c>
      <c r="H206" s="46" t="s">
        <v>585</v>
      </c>
      <c r="I206" s="47" t="s">
        <v>584</v>
      </c>
      <c r="J206" s="48">
        <v>0.4</v>
      </c>
      <c r="K206" s="46" t="s">
        <v>585</v>
      </c>
      <c r="L206" s="47" t="s">
        <v>584</v>
      </c>
      <c r="M206" s="48">
        <v>0.3</v>
      </c>
      <c r="N206" s="46" t="s">
        <v>585</v>
      </c>
      <c r="O206" s="47" t="s">
        <v>584</v>
      </c>
      <c r="P206" s="48">
        <v>0.3</v>
      </c>
      <c r="Q206" s="55" t="s">
        <v>585</v>
      </c>
      <c r="R206" s="47" t="s">
        <v>584</v>
      </c>
      <c r="S206" s="48">
        <v>0.3</v>
      </c>
      <c r="T206" s="55" t="s">
        <v>585</v>
      </c>
      <c r="U206" s="47" t="s">
        <v>584</v>
      </c>
      <c r="V206" s="48">
        <v>0.3</v>
      </c>
      <c r="W206" s="55" t="s">
        <v>586</v>
      </c>
      <c r="X206" s="47" t="s">
        <v>2536</v>
      </c>
      <c r="Y206" s="48">
        <v>0.6</v>
      </c>
      <c r="Z206" s="49" t="s">
        <v>587</v>
      </c>
      <c r="AA206" s="50" t="s">
        <v>588</v>
      </c>
      <c r="AB206" s="51">
        <v>1.3</v>
      </c>
    </row>
    <row r="207" spans="1:28" ht="13.5" customHeight="1">
      <c r="A207" s="27"/>
      <c r="B207" s="44"/>
      <c r="C207" s="36"/>
      <c r="D207" s="6"/>
      <c r="E207" s="46"/>
      <c r="F207" s="56"/>
      <c r="G207" s="58"/>
      <c r="H207" s="46"/>
      <c r="I207" s="56"/>
      <c r="J207" s="58"/>
      <c r="K207" s="46"/>
      <c r="L207" s="56"/>
      <c r="M207" s="58"/>
      <c r="N207" s="46"/>
      <c r="O207" s="56"/>
      <c r="P207" s="58"/>
      <c r="Q207" s="241"/>
      <c r="R207" s="56"/>
      <c r="S207" s="58"/>
      <c r="T207" s="241"/>
      <c r="U207" s="56"/>
      <c r="V207" s="58"/>
      <c r="W207" s="241"/>
      <c r="X207" s="56"/>
      <c r="Y207" s="58"/>
      <c r="Z207" s="59"/>
      <c r="AA207" s="60"/>
      <c r="AB207" s="61"/>
    </row>
    <row r="208" spans="1:28" ht="13.5" customHeight="1">
      <c r="A208" s="27"/>
      <c r="B208" s="44"/>
      <c r="C208" s="82"/>
      <c r="D208" s="83"/>
      <c r="E208" s="46" t="s">
        <v>571</v>
      </c>
      <c r="F208" s="75" t="s">
        <v>3028</v>
      </c>
      <c r="G208" s="58">
        <v>0.6</v>
      </c>
      <c r="H208" s="46" t="s">
        <v>571</v>
      </c>
      <c r="I208" s="75" t="s">
        <v>3028</v>
      </c>
      <c r="J208" s="58">
        <v>0.6</v>
      </c>
      <c r="K208" s="46"/>
      <c r="L208" s="75"/>
      <c r="M208" s="58"/>
      <c r="N208" s="46"/>
      <c r="O208" s="75"/>
      <c r="P208" s="58"/>
      <c r="Q208" s="76"/>
      <c r="R208" s="75"/>
      <c r="S208" s="77"/>
      <c r="T208" s="76"/>
      <c r="U208" s="75"/>
      <c r="V208" s="77"/>
      <c r="W208" s="76"/>
      <c r="X208" s="75"/>
      <c r="Y208" s="77"/>
      <c r="Z208" s="78"/>
      <c r="AA208" s="79"/>
      <c r="AB208" s="80"/>
    </row>
    <row r="209" spans="1:28" ht="13.5" customHeight="1">
      <c r="A209" s="85" t="s">
        <v>589</v>
      </c>
      <c r="B209" s="86"/>
      <c r="C209" s="21"/>
      <c r="D209" s="6" t="s">
        <v>590</v>
      </c>
      <c r="E209" s="87"/>
      <c r="F209" s="88"/>
      <c r="G209" s="100">
        <f>SUM(G210,G222)</f>
        <v>15.8</v>
      </c>
      <c r="H209" s="87"/>
      <c r="I209" s="88"/>
      <c r="J209" s="100">
        <f>SUM(J210,J222)</f>
        <v>16.5</v>
      </c>
      <c r="K209" s="87"/>
      <c r="L209" s="88"/>
      <c r="M209" s="100">
        <f>SUM(M210,M222)</f>
        <v>15.8</v>
      </c>
      <c r="N209" s="87"/>
      <c r="O209" s="88"/>
      <c r="P209" s="100">
        <f>SUM(P210,P222)</f>
        <v>15.5</v>
      </c>
      <c r="Q209" s="87"/>
      <c r="R209" s="88"/>
      <c r="S209" s="89">
        <f>SUM(S210,S222)</f>
        <v>11.799999999999999</v>
      </c>
      <c r="T209" s="87"/>
      <c r="U209" s="88"/>
      <c r="V209" s="89">
        <f>SUM(V210,V222)</f>
        <v>12.4</v>
      </c>
      <c r="W209" s="87"/>
      <c r="X209" s="88"/>
      <c r="Y209" s="89">
        <f>SUM(Y210,Y222)</f>
        <v>14.600000000000001</v>
      </c>
      <c r="Z209" s="90"/>
      <c r="AA209" s="91"/>
      <c r="AB209" s="89">
        <f>SUM(AB210,AB222)</f>
        <v>21.6</v>
      </c>
    </row>
    <row r="210" spans="1:28" ht="13.5" customHeight="1">
      <c r="A210" s="27"/>
      <c r="B210" s="28" t="s">
        <v>591</v>
      </c>
      <c r="C210" s="29"/>
      <c r="D210" s="30" t="s">
        <v>592</v>
      </c>
      <c r="E210" s="31" t="s">
        <v>593</v>
      </c>
      <c r="F210" s="92"/>
      <c r="G210" s="33">
        <f>SUM(G211)</f>
        <v>6.5</v>
      </c>
      <c r="H210" s="31" t="s">
        <v>593</v>
      </c>
      <c r="I210" s="92"/>
      <c r="J210" s="33">
        <f>SUM(J211)</f>
        <v>6.3</v>
      </c>
      <c r="K210" s="31" t="s">
        <v>593</v>
      </c>
      <c r="L210" s="92"/>
      <c r="M210" s="33">
        <f>SUM(M211)</f>
        <v>5.5</v>
      </c>
      <c r="N210" s="31" t="s">
        <v>593</v>
      </c>
      <c r="O210" s="92"/>
      <c r="P210" s="33">
        <f>SUM(P211)</f>
        <v>4.8</v>
      </c>
      <c r="Q210" s="31" t="s">
        <v>593</v>
      </c>
      <c r="R210" s="92"/>
      <c r="S210" s="33">
        <f>SUM(S211)</f>
        <v>4.0999999999999996</v>
      </c>
      <c r="T210" s="31" t="s">
        <v>593</v>
      </c>
      <c r="U210" s="92"/>
      <c r="V210" s="33">
        <f>SUM(V211)</f>
        <v>3.9000000000000004</v>
      </c>
      <c r="W210" s="93"/>
      <c r="X210" s="92"/>
      <c r="Y210" s="33">
        <f>SUM(Y211)</f>
        <v>3.8000000000000003</v>
      </c>
      <c r="Z210" s="94"/>
      <c r="AA210" s="95"/>
      <c r="AB210" s="33">
        <f>SUM(AB211)</f>
        <v>11.5</v>
      </c>
    </row>
    <row r="211" spans="1:28" ht="13.5" customHeight="1">
      <c r="A211" s="27"/>
      <c r="B211" s="36"/>
      <c r="C211" s="28" t="s">
        <v>594</v>
      </c>
      <c r="D211" s="30" t="s">
        <v>592</v>
      </c>
      <c r="E211" s="37" t="s">
        <v>595</v>
      </c>
      <c r="F211" s="41"/>
      <c r="G211" s="39">
        <f>SUM(G212:G221)</f>
        <v>6.5</v>
      </c>
      <c r="H211" s="37" t="s">
        <v>595</v>
      </c>
      <c r="I211" s="41"/>
      <c r="J211" s="39">
        <f>SUM(J212:J221)</f>
        <v>6.3</v>
      </c>
      <c r="K211" s="37" t="s">
        <v>595</v>
      </c>
      <c r="L211" s="41"/>
      <c r="M211" s="39">
        <f>SUM(M212:M221)</f>
        <v>5.5</v>
      </c>
      <c r="N211" s="37" t="s">
        <v>595</v>
      </c>
      <c r="O211" s="41"/>
      <c r="P211" s="39">
        <f>SUM(P212:P221)</f>
        <v>4.8</v>
      </c>
      <c r="Q211" s="37" t="s">
        <v>595</v>
      </c>
      <c r="R211" s="41"/>
      <c r="S211" s="39">
        <f>SUM(S212:S221)</f>
        <v>4.0999999999999996</v>
      </c>
      <c r="T211" s="37" t="s">
        <v>595</v>
      </c>
      <c r="U211" s="41"/>
      <c r="V211" s="39">
        <f>SUM(V212:V221)</f>
        <v>3.9000000000000004</v>
      </c>
      <c r="W211" s="40"/>
      <c r="X211" s="41"/>
      <c r="Y211" s="39">
        <f>SUM(Y212:Y221)</f>
        <v>3.8000000000000003</v>
      </c>
      <c r="Z211" s="42"/>
      <c r="AA211" s="43"/>
      <c r="AB211" s="39">
        <f>SUM(AB212:AB221)</f>
        <v>11.5</v>
      </c>
    </row>
    <row r="212" spans="1:28" ht="13.5" customHeight="1">
      <c r="A212" s="27"/>
      <c r="B212" s="44"/>
      <c r="C212" s="44"/>
      <c r="D212" s="45"/>
      <c r="E212" s="46" t="s">
        <v>597</v>
      </c>
      <c r="F212" s="47" t="s">
        <v>596</v>
      </c>
      <c r="G212" s="48">
        <v>1.7</v>
      </c>
      <c r="H212" s="46" t="s">
        <v>597</v>
      </c>
      <c r="I212" s="47" t="s">
        <v>596</v>
      </c>
      <c r="J212" s="48">
        <v>1.8</v>
      </c>
      <c r="K212" s="46" t="s">
        <v>597</v>
      </c>
      <c r="L212" s="47" t="s">
        <v>596</v>
      </c>
      <c r="M212" s="48">
        <v>1.5</v>
      </c>
      <c r="N212" s="46" t="s">
        <v>597</v>
      </c>
      <c r="O212" s="47" t="s">
        <v>596</v>
      </c>
      <c r="P212" s="48">
        <v>1.3</v>
      </c>
      <c r="Q212" s="46" t="s">
        <v>597</v>
      </c>
      <c r="R212" s="47" t="s">
        <v>596</v>
      </c>
      <c r="S212" s="48">
        <v>1.1000000000000001</v>
      </c>
      <c r="T212" s="46" t="s">
        <v>597</v>
      </c>
      <c r="U212" s="47" t="s">
        <v>596</v>
      </c>
      <c r="V212" s="48">
        <v>1.1000000000000001</v>
      </c>
      <c r="W212" s="46" t="s">
        <v>598</v>
      </c>
      <c r="X212" s="47" t="s">
        <v>2537</v>
      </c>
      <c r="Y212" s="48">
        <v>1.1000000000000001</v>
      </c>
      <c r="Z212" s="49" t="s">
        <v>599</v>
      </c>
      <c r="AA212" s="50" t="s">
        <v>596</v>
      </c>
      <c r="AB212" s="51">
        <v>3.3</v>
      </c>
    </row>
    <row r="213" spans="1:28" ht="13.5" customHeight="1">
      <c r="A213" s="27"/>
      <c r="B213" s="44"/>
      <c r="C213" s="36"/>
      <c r="D213" s="6"/>
      <c r="E213" s="46" t="s">
        <v>600</v>
      </c>
      <c r="F213" s="47" t="s">
        <v>2538</v>
      </c>
      <c r="G213" s="48">
        <v>0.4</v>
      </c>
      <c r="H213" s="46" t="s">
        <v>600</v>
      </c>
      <c r="I213" s="47" t="s">
        <v>2538</v>
      </c>
      <c r="J213" s="48">
        <v>0.2</v>
      </c>
      <c r="K213" s="46" t="s">
        <v>600</v>
      </c>
      <c r="L213" s="47" t="s">
        <v>2538</v>
      </c>
      <c r="M213" s="48">
        <v>0.3</v>
      </c>
      <c r="N213" s="46" t="s">
        <v>600</v>
      </c>
      <c r="O213" s="47" t="s">
        <v>2538</v>
      </c>
      <c r="P213" s="48">
        <v>0.2</v>
      </c>
      <c r="Q213" s="46" t="s">
        <v>600</v>
      </c>
      <c r="R213" s="47" t="s">
        <v>601</v>
      </c>
      <c r="S213" s="48">
        <v>0.2</v>
      </c>
      <c r="T213" s="46" t="s">
        <v>600</v>
      </c>
      <c r="U213" s="47" t="s">
        <v>601</v>
      </c>
      <c r="V213" s="48">
        <v>0.2</v>
      </c>
      <c r="W213" s="46" t="s">
        <v>602</v>
      </c>
      <c r="X213" s="47" t="s">
        <v>2539</v>
      </c>
      <c r="Y213" s="48">
        <v>0.4</v>
      </c>
      <c r="Z213" s="49" t="s">
        <v>603</v>
      </c>
      <c r="AA213" s="50" t="s">
        <v>604</v>
      </c>
      <c r="AB213" s="51">
        <v>1</v>
      </c>
    </row>
    <row r="214" spans="1:28" ht="13.5" customHeight="1">
      <c r="A214" s="27"/>
      <c r="B214" s="44"/>
      <c r="C214" s="36"/>
      <c r="D214" s="6"/>
      <c r="E214" s="46"/>
      <c r="F214" s="47"/>
      <c r="G214" s="48"/>
      <c r="H214" s="46"/>
      <c r="I214" s="47"/>
      <c r="J214" s="48"/>
      <c r="K214" s="46"/>
      <c r="L214" s="47"/>
      <c r="M214" s="48"/>
      <c r="N214" s="46"/>
      <c r="O214" s="47"/>
      <c r="P214" s="48"/>
      <c r="Q214" s="46"/>
      <c r="R214" s="47"/>
      <c r="S214" s="48"/>
      <c r="T214" s="46"/>
      <c r="U214" s="47"/>
      <c r="V214" s="48"/>
      <c r="W214" s="46"/>
      <c r="X214" s="47"/>
      <c r="Y214" s="48"/>
      <c r="Z214" s="49" t="s">
        <v>605</v>
      </c>
      <c r="AA214" s="50" t="s">
        <v>606</v>
      </c>
      <c r="AB214" s="51">
        <v>0.4</v>
      </c>
    </row>
    <row r="215" spans="1:28" ht="13.5" customHeight="1">
      <c r="A215" s="27"/>
      <c r="B215" s="44"/>
      <c r="C215" s="36"/>
      <c r="D215" s="6"/>
      <c r="E215" s="46"/>
      <c r="F215" s="47"/>
      <c r="G215" s="48"/>
      <c r="H215" s="46"/>
      <c r="I215" s="47"/>
      <c r="J215" s="48"/>
      <c r="K215" s="46"/>
      <c r="L215" s="47"/>
      <c r="M215" s="48"/>
      <c r="N215" s="46"/>
      <c r="O215" s="47"/>
      <c r="P215" s="48"/>
      <c r="Q215" s="46"/>
      <c r="R215" s="47"/>
      <c r="S215" s="48"/>
      <c r="T215" s="46"/>
      <c r="U215" s="47"/>
      <c r="V215" s="48"/>
      <c r="W215" s="46"/>
      <c r="X215" s="47"/>
      <c r="Y215" s="48"/>
      <c r="Z215" s="49"/>
      <c r="AA215" s="50"/>
      <c r="AB215" s="51"/>
    </row>
    <row r="216" spans="1:28" ht="13.5" customHeight="1">
      <c r="A216" s="27"/>
      <c r="B216" s="44"/>
      <c r="C216" s="36"/>
      <c r="D216" s="6"/>
      <c r="E216" s="46" t="s">
        <v>608</v>
      </c>
      <c r="F216" s="47" t="s">
        <v>607</v>
      </c>
      <c r="G216" s="48">
        <v>0.8</v>
      </c>
      <c r="H216" s="46" t="s">
        <v>608</v>
      </c>
      <c r="I216" s="47" t="s">
        <v>607</v>
      </c>
      <c r="J216" s="48">
        <v>0.5</v>
      </c>
      <c r="K216" s="46" t="s">
        <v>608</v>
      </c>
      <c r="L216" s="47" t="s">
        <v>607</v>
      </c>
      <c r="M216" s="48">
        <v>0.3</v>
      </c>
      <c r="N216" s="46" t="s">
        <v>608</v>
      </c>
      <c r="O216" s="47" t="s">
        <v>607</v>
      </c>
      <c r="P216" s="48">
        <v>0.3</v>
      </c>
      <c r="Q216" s="46" t="s">
        <v>608</v>
      </c>
      <c r="R216" s="47" t="s">
        <v>607</v>
      </c>
      <c r="S216" s="48">
        <v>0.3</v>
      </c>
      <c r="T216" s="46" t="s">
        <v>608</v>
      </c>
      <c r="U216" s="47" t="s">
        <v>607</v>
      </c>
      <c r="V216" s="48">
        <v>0.3</v>
      </c>
      <c r="W216" s="46" t="s">
        <v>609</v>
      </c>
      <c r="X216" s="47" t="s">
        <v>2540</v>
      </c>
      <c r="Y216" s="48">
        <v>0.2</v>
      </c>
      <c r="Z216" s="49" t="s">
        <v>610</v>
      </c>
      <c r="AA216" s="50" t="s">
        <v>607</v>
      </c>
      <c r="AB216" s="51">
        <v>0.4</v>
      </c>
    </row>
    <row r="217" spans="1:28" ht="13.5" customHeight="1">
      <c r="A217" s="27"/>
      <c r="B217" s="44"/>
      <c r="C217" s="36"/>
      <c r="D217" s="6"/>
      <c r="E217" s="46" t="s">
        <v>612</v>
      </c>
      <c r="F217" s="47" t="s">
        <v>611</v>
      </c>
      <c r="G217" s="48">
        <v>3</v>
      </c>
      <c r="H217" s="46" t="s">
        <v>612</v>
      </c>
      <c r="I217" s="47" t="s">
        <v>611</v>
      </c>
      <c r="J217" s="48">
        <v>3.2</v>
      </c>
      <c r="K217" s="46" t="s">
        <v>612</v>
      </c>
      <c r="L217" s="47" t="s">
        <v>611</v>
      </c>
      <c r="M217" s="48">
        <v>2.9</v>
      </c>
      <c r="N217" s="46" t="s">
        <v>612</v>
      </c>
      <c r="O217" s="47" t="s">
        <v>611</v>
      </c>
      <c r="P217" s="48">
        <v>2.5</v>
      </c>
      <c r="Q217" s="46" t="s">
        <v>612</v>
      </c>
      <c r="R217" s="47" t="s">
        <v>611</v>
      </c>
      <c r="S217" s="48">
        <v>2</v>
      </c>
      <c r="T217" s="46" t="s">
        <v>612</v>
      </c>
      <c r="U217" s="47" t="s">
        <v>611</v>
      </c>
      <c r="V217" s="48">
        <v>1.8</v>
      </c>
      <c r="W217" s="46" t="s">
        <v>613</v>
      </c>
      <c r="X217" s="47" t="s">
        <v>2541</v>
      </c>
      <c r="Y217" s="48">
        <v>1.5</v>
      </c>
      <c r="Z217" s="49" t="s">
        <v>614</v>
      </c>
      <c r="AA217" s="50" t="s">
        <v>611</v>
      </c>
      <c r="AB217" s="51">
        <v>5.6</v>
      </c>
    </row>
    <row r="218" spans="1:28" ht="13.5" customHeight="1">
      <c r="A218" s="27"/>
      <c r="B218" s="44"/>
      <c r="C218" s="36"/>
      <c r="D218" s="6"/>
      <c r="E218" s="46" t="s">
        <v>616</v>
      </c>
      <c r="F218" s="47" t="s">
        <v>615</v>
      </c>
      <c r="G218" s="48">
        <v>0.5</v>
      </c>
      <c r="H218" s="46" t="s">
        <v>616</v>
      </c>
      <c r="I218" s="47" t="s">
        <v>615</v>
      </c>
      <c r="J218" s="48">
        <v>0.5</v>
      </c>
      <c r="K218" s="46" t="s">
        <v>616</v>
      </c>
      <c r="L218" s="47" t="s">
        <v>615</v>
      </c>
      <c r="M218" s="48">
        <v>0.4</v>
      </c>
      <c r="N218" s="46" t="s">
        <v>616</v>
      </c>
      <c r="O218" s="47" t="s">
        <v>615</v>
      </c>
      <c r="P218" s="48">
        <v>0.4</v>
      </c>
      <c r="Q218" s="46" t="s">
        <v>616</v>
      </c>
      <c r="R218" s="47" t="s">
        <v>615</v>
      </c>
      <c r="S218" s="48">
        <v>0.4</v>
      </c>
      <c r="T218" s="46" t="s">
        <v>616</v>
      </c>
      <c r="U218" s="47" t="s">
        <v>615</v>
      </c>
      <c r="V218" s="48">
        <v>0.4</v>
      </c>
      <c r="W218" s="46" t="s">
        <v>617</v>
      </c>
      <c r="X218" s="47" t="s">
        <v>2542</v>
      </c>
      <c r="Y218" s="48">
        <v>0.2</v>
      </c>
      <c r="Z218" s="49" t="s">
        <v>618</v>
      </c>
      <c r="AA218" s="50" t="s">
        <v>619</v>
      </c>
      <c r="AB218" s="51">
        <v>0.3</v>
      </c>
    </row>
    <row r="219" spans="1:28" ht="13.5" customHeight="1">
      <c r="A219" s="27"/>
      <c r="B219" s="44"/>
      <c r="C219" s="36"/>
      <c r="D219" s="6"/>
      <c r="E219" s="46"/>
      <c r="F219" s="47"/>
      <c r="G219" s="48"/>
      <c r="H219" s="46"/>
      <c r="I219" s="47"/>
      <c r="J219" s="48"/>
      <c r="K219" s="46"/>
      <c r="L219" s="47"/>
      <c r="M219" s="48"/>
      <c r="N219" s="46"/>
      <c r="O219" s="47"/>
      <c r="P219" s="48"/>
      <c r="Q219" s="46"/>
      <c r="R219" s="47"/>
      <c r="S219" s="48"/>
      <c r="T219" s="46"/>
      <c r="U219" s="47"/>
      <c r="V219" s="48"/>
      <c r="W219" s="46" t="s">
        <v>620</v>
      </c>
      <c r="X219" s="47" t="s">
        <v>2543</v>
      </c>
      <c r="Y219" s="48">
        <v>0.1</v>
      </c>
      <c r="Z219" s="49" t="s">
        <v>621</v>
      </c>
      <c r="AA219" s="50" t="s">
        <v>622</v>
      </c>
      <c r="AB219" s="51">
        <v>0.3</v>
      </c>
    </row>
    <row r="220" spans="1:28" ht="13.5" customHeight="1">
      <c r="A220" s="27"/>
      <c r="B220" s="44"/>
      <c r="C220" s="36"/>
      <c r="D220" s="6"/>
      <c r="E220" s="46" t="s">
        <v>624</v>
      </c>
      <c r="F220" s="47" t="s">
        <v>623</v>
      </c>
      <c r="G220" s="48">
        <v>0.1</v>
      </c>
      <c r="H220" s="46" t="s">
        <v>624</v>
      </c>
      <c r="I220" s="47" t="s">
        <v>623</v>
      </c>
      <c r="J220" s="48">
        <v>0.1</v>
      </c>
      <c r="K220" s="46" t="s">
        <v>624</v>
      </c>
      <c r="L220" s="47" t="s">
        <v>623</v>
      </c>
      <c r="M220" s="48">
        <v>0.1</v>
      </c>
      <c r="N220" s="46" t="s">
        <v>624</v>
      </c>
      <c r="O220" s="47" t="s">
        <v>623</v>
      </c>
      <c r="P220" s="48">
        <v>0.1</v>
      </c>
      <c r="Q220" s="46" t="s">
        <v>624</v>
      </c>
      <c r="R220" s="47" t="s">
        <v>623</v>
      </c>
      <c r="S220" s="48">
        <v>0.1</v>
      </c>
      <c r="T220" s="46" t="s">
        <v>624</v>
      </c>
      <c r="U220" s="47" t="s">
        <v>623</v>
      </c>
      <c r="V220" s="48">
        <v>0.1</v>
      </c>
      <c r="W220" s="46" t="s">
        <v>625</v>
      </c>
      <c r="X220" s="47" t="s">
        <v>2544</v>
      </c>
      <c r="Y220" s="48">
        <v>0.3</v>
      </c>
      <c r="Z220" s="49" t="s">
        <v>626</v>
      </c>
      <c r="AA220" s="50" t="s">
        <v>623</v>
      </c>
      <c r="AB220" s="51">
        <v>0.2</v>
      </c>
    </row>
    <row r="221" spans="1:28" ht="13.5" customHeight="1">
      <c r="A221" s="27"/>
      <c r="B221" s="44"/>
      <c r="C221" s="82"/>
      <c r="D221" s="83"/>
      <c r="E221" s="46"/>
      <c r="F221" s="75"/>
      <c r="G221" s="48"/>
      <c r="H221" s="46"/>
      <c r="I221" s="75"/>
      <c r="J221" s="48"/>
      <c r="K221" s="46"/>
      <c r="L221" s="75"/>
      <c r="M221" s="48"/>
      <c r="N221" s="46"/>
      <c r="O221" s="75"/>
      <c r="P221" s="48"/>
      <c r="Q221" s="76"/>
      <c r="R221" s="75"/>
      <c r="S221" s="77"/>
      <c r="T221" s="76"/>
      <c r="U221" s="75"/>
      <c r="V221" s="77"/>
      <c r="W221" s="76"/>
      <c r="X221" s="75"/>
      <c r="Y221" s="77"/>
      <c r="Z221" s="78"/>
      <c r="AA221" s="79"/>
      <c r="AB221" s="80"/>
    </row>
    <row r="222" spans="1:28" ht="13.5" customHeight="1">
      <c r="A222" s="27"/>
      <c r="B222" s="28" t="s">
        <v>627</v>
      </c>
      <c r="C222" s="21"/>
      <c r="D222" s="6" t="s">
        <v>628</v>
      </c>
      <c r="E222" s="31" t="s">
        <v>629</v>
      </c>
      <c r="F222" s="88"/>
      <c r="G222" s="33">
        <f>SUM(G223)</f>
        <v>9.3000000000000007</v>
      </c>
      <c r="H222" s="31" t="s">
        <v>629</v>
      </c>
      <c r="I222" s="88"/>
      <c r="J222" s="33">
        <f>SUM(J223)</f>
        <v>10.199999999999999</v>
      </c>
      <c r="K222" s="31" t="s">
        <v>629</v>
      </c>
      <c r="L222" s="88"/>
      <c r="M222" s="33">
        <f>SUM(M223)</f>
        <v>10.3</v>
      </c>
      <c r="N222" s="31" t="s">
        <v>629</v>
      </c>
      <c r="O222" s="88"/>
      <c r="P222" s="33">
        <f>SUM(P223)</f>
        <v>10.7</v>
      </c>
      <c r="Q222" s="31" t="s">
        <v>629</v>
      </c>
      <c r="R222" s="88"/>
      <c r="S222" s="33">
        <f>SUM(S223)</f>
        <v>7.6999999999999993</v>
      </c>
      <c r="T222" s="31" t="s">
        <v>629</v>
      </c>
      <c r="U222" s="88"/>
      <c r="V222" s="33">
        <f>SUM(V223)</f>
        <v>8.5</v>
      </c>
      <c r="W222" s="96"/>
      <c r="X222" s="88"/>
      <c r="Y222" s="33">
        <f>SUM(Y223)</f>
        <v>10.8</v>
      </c>
      <c r="Z222" s="90"/>
      <c r="AA222" s="91"/>
      <c r="AB222" s="33">
        <f>SUM(AB223)</f>
        <v>10.1</v>
      </c>
    </row>
    <row r="223" spans="1:28" ht="13.5" customHeight="1">
      <c r="A223" s="27"/>
      <c r="B223" s="36"/>
      <c r="C223" s="28" t="s">
        <v>630</v>
      </c>
      <c r="D223" s="30" t="s">
        <v>628</v>
      </c>
      <c r="E223" s="37" t="s">
        <v>631</v>
      </c>
      <c r="F223" s="41"/>
      <c r="G223" s="39">
        <f>SUM(G224:G225)</f>
        <v>9.3000000000000007</v>
      </c>
      <c r="H223" s="37" t="s">
        <v>631</v>
      </c>
      <c r="I223" s="41"/>
      <c r="J223" s="39">
        <f>SUM(J224:J225)</f>
        <v>10.199999999999999</v>
      </c>
      <c r="K223" s="37" t="s">
        <v>631</v>
      </c>
      <c r="L223" s="41"/>
      <c r="M223" s="39">
        <f>SUM(M224:M225)</f>
        <v>10.3</v>
      </c>
      <c r="N223" s="37" t="s">
        <v>631</v>
      </c>
      <c r="O223" s="41"/>
      <c r="P223" s="39">
        <f>SUM(P224:P225)</f>
        <v>10.7</v>
      </c>
      <c r="Q223" s="37" t="s">
        <v>631</v>
      </c>
      <c r="R223" s="41"/>
      <c r="S223" s="39">
        <f>SUM(S224:S225)</f>
        <v>7.6999999999999993</v>
      </c>
      <c r="T223" s="37" t="s">
        <v>631</v>
      </c>
      <c r="U223" s="41"/>
      <c r="V223" s="39">
        <f>SUM(V224:V225)</f>
        <v>8.5</v>
      </c>
      <c r="W223" s="97"/>
      <c r="X223" s="41"/>
      <c r="Y223" s="39">
        <f>SUM(Y224:Y225)</f>
        <v>10.8</v>
      </c>
      <c r="Z223" s="42"/>
      <c r="AA223" s="43"/>
      <c r="AB223" s="39">
        <f>SUM(AB224:AB225)</f>
        <v>10.1</v>
      </c>
    </row>
    <row r="224" spans="1:28" ht="13.5" customHeight="1">
      <c r="A224" s="27"/>
      <c r="B224" s="44"/>
      <c r="C224" s="44"/>
      <c r="D224" s="45"/>
      <c r="E224" s="46" t="s">
        <v>632</v>
      </c>
      <c r="F224" s="113" t="s">
        <v>628</v>
      </c>
      <c r="G224" s="48">
        <v>9.3000000000000007</v>
      </c>
      <c r="H224" s="46" t="s">
        <v>632</v>
      </c>
      <c r="I224" s="113" t="s">
        <v>628</v>
      </c>
      <c r="J224" s="48">
        <v>10.199999999999999</v>
      </c>
      <c r="K224" s="46" t="s">
        <v>632</v>
      </c>
      <c r="L224" s="113" t="s">
        <v>628</v>
      </c>
      <c r="M224" s="48">
        <v>10.3</v>
      </c>
      <c r="N224" s="46" t="s">
        <v>632</v>
      </c>
      <c r="O224" s="113" t="s">
        <v>2545</v>
      </c>
      <c r="P224" s="48">
        <v>10.7</v>
      </c>
      <c r="Q224" s="55" t="s">
        <v>632</v>
      </c>
      <c r="R224" s="113" t="s">
        <v>633</v>
      </c>
      <c r="S224" s="48">
        <v>4.8</v>
      </c>
      <c r="T224" s="55" t="s">
        <v>632</v>
      </c>
      <c r="U224" s="113" t="s">
        <v>633</v>
      </c>
      <c r="V224" s="48">
        <v>5</v>
      </c>
      <c r="W224" s="55" t="s">
        <v>634</v>
      </c>
      <c r="X224" s="113" t="s">
        <v>2546</v>
      </c>
      <c r="Y224" s="48">
        <v>7.4</v>
      </c>
      <c r="Z224" s="49" t="s">
        <v>635</v>
      </c>
      <c r="AA224" s="50" t="s">
        <v>633</v>
      </c>
      <c r="AB224" s="51">
        <v>8.6999999999999993</v>
      </c>
    </row>
    <row r="225" spans="1:28" ht="13.5" customHeight="1">
      <c r="A225" s="27"/>
      <c r="B225" s="44"/>
      <c r="C225" s="36"/>
      <c r="D225" s="6"/>
      <c r="E225" s="46"/>
      <c r="F225" s="75"/>
      <c r="G225" s="48"/>
      <c r="H225" s="46"/>
      <c r="I225" s="75"/>
      <c r="J225" s="48"/>
      <c r="K225" s="46"/>
      <c r="L225" s="75"/>
      <c r="M225" s="48"/>
      <c r="N225" s="46"/>
      <c r="O225" s="75"/>
      <c r="P225" s="48"/>
      <c r="Q225" s="116" t="s">
        <v>636</v>
      </c>
      <c r="R225" s="75" t="s">
        <v>637</v>
      </c>
      <c r="S225" s="77">
        <v>2.9</v>
      </c>
      <c r="T225" s="116" t="s">
        <v>636</v>
      </c>
      <c r="U225" s="75" t="s">
        <v>637</v>
      </c>
      <c r="V225" s="77">
        <v>3.5</v>
      </c>
      <c r="W225" s="116" t="s">
        <v>638</v>
      </c>
      <c r="X225" s="75" t="s">
        <v>2547</v>
      </c>
      <c r="Y225" s="77">
        <v>3.4</v>
      </c>
      <c r="Z225" s="78" t="s">
        <v>639</v>
      </c>
      <c r="AA225" s="79" t="s">
        <v>637</v>
      </c>
      <c r="AB225" s="80">
        <v>1.4</v>
      </c>
    </row>
    <row r="226" spans="1:28" ht="13.5" customHeight="1">
      <c r="A226" s="85" t="s">
        <v>640</v>
      </c>
      <c r="B226" s="86"/>
      <c r="C226" s="29"/>
      <c r="D226" s="30" t="s">
        <v>641</v>
      </c>
      <c r="E226" s="98"/>
      <c r="F226" s="99"/>
      <c r="G226" s="100">
        <f>SUM(G227,G301)</f>
        <v>49.6</v>
      </c>
      <c r="H226" s="98"/>
      <c r="I226" s="99"/>
      <c r="J226" s="100">
        <f>SUM(J227,J301)</f>
        <v>48.6</v>
      </c>
      <c r="K226" s="98"/>
      <c r="L226" s="99"/>
      <c r="M226" s="100">
        <f>SUM(M227,M301)</f>
        <v>61.099999999999987</v>
      </c>
      <c r="N226" s="98"/>
      <c r="O226" s="99"/>
      <c r="P226" s="100">
        <f>SUM(P227,P301)</f>
        <v>61.4</v>
      </c>
      <c r="Q226" s="98"/>
      <c r="R226" s="99"/>
      <c r="S226" s="100">
        <f>SUM(S227,S301)</f>
        <v>66.400000000000006</v>
      </c>
      <c r="T226" s="98"/>
      <c r="U226" s="99"/>
      <c r="V226" s="100">
        <f>SUM(V227,V301)</f>
        <v>62.3</v>
      </c>
      <c r="W226" s="98"/>
      <c r="X226" s="99"/>
      <c r="Y226" s="100">
        <f>SUM(Y227,Y301)</f>
        <v>58.400000000000006</v>
      </c>
      <c r="Z226" s="94"/>
      <c r="AA226" s="66"/>
      <c r="AB226" s="100">
        <f>SUM(AB227,AB301)</f>
        <v>58.2</v>
      </c>
    </row>
    <row r="227" spans="1:28" ht="13.5" customHeight="1">
      <c r="A227" s="27"/>
      <c r="B227" s="28" t="s">
        <v>642</v>
      </c>
      <c r="C227" s="29"/>
      <c r="D227" s="30" t="s">
        <v>643</v>
      </c>
      <c r="E227" s="31" t="s">
        <v>644</v>
      </c>
      <c r="F227" s="92"/>
      <c r="G227" s="33">
        <f>SUM(G228,G246,G268,G277,G283,G295)</f>
        <v>42.1</v>
      </c>
      <c r="H227" s="31" t="s">
        <v>644</v>
      </c>
      <c r="I227" s="92"/>
      <c r="J227" s="33">
        <f>SUM(J228,J246,J268,J277,J283,J295)</f>
        <v>41.6</v>
      </c>
      <c r="K227" s="31" t="s">
        <v>644</v>
      </c>
      <c r="L227" s="92"/>
      <c r="M227" s="33">
        <f>SUM(M228,M246,M268,M277,M283,M295)</f>
        <v>52.79999999999999</v>
      </c>
      <c r="N227" s="31" t="s">
        <v>644</v>
      </c>
      <c r="O227" s="92"/>
      <c r="P227" s="33">
        <f>SUM(P228,P246,P268,P277,P283,P295)</f>
        <v>52.9</v>
      </c>
      <c r="Q227" s="31" t="s">
        <v>644</v>
      </c>
      <c r="R227" s="92"/>
      <c r="S227" s="33">
        <f>SUM(S228,S246,S268,S277,S283,S295)</f>
        <v>56.900000000000006</v>
      </c>
      <c r="T227" s="31" t="s">
        <v>644</v>
      </c>
      <c r="U227" s="92"/>
      <c r="V227" s="33">
        <f>SUM(V228,V246,V268,V277,V283,V295)</f>
        <v>53.4</v>
      </c>
      <c r="W227" s="93"/>
      <c r="X227" s="92"/>
      <c r="Y227" s="33">
        <f>SUM(Y228,Y246,Y268,Y277,Y283,Y295)</f>
        <v>51.2</v>
      </c>
      <c r="Z227" s="94"/>
      <c r="AA227" s="95"/>
      <c r="AB227" s="33">
        <f>SUM(AB228,AB246,AB268,AB277,AB283,AB295)</f>
        <v>51.1</v>
      </c>
    </row>
    <row r="228" spans="1:28" ht="13.5" customHeight="1">
      <c r="A228" s="27"/>
      <c r="B228" s="44"/>
      <c r="C228" s="28" t="s">
        <v>645</v>
      </c>
      <c r="D228" s="30" t="s">
        <v>646</v>
      </c>
      <c r="E228" s="37" t="s">
        <v>647</v>
      </c>
      <c r="F228" s="41"/>
      <c r="G228" s="39">
        <f>SUM(G229:G245)</f>
        <v>7.9</v>
      </c>
      <c r="H228" s="37" t="s">
        <v>647</v>
      </c>
      <c r="I228" s="41"/>
      <c r="J228" s="39">
        <f>SUM(J229:J245)</f>
        <v>8.1</v>
      </c>
      <c r="K228" s="37" t="s">
        <v>647</v>
      </c>
      <c r="L228" s="41"/>
      <c r="M228" s="39">
        <f>SUM(M229:M245)</f>
        <v>10.9</v>
      </c>
      <c r="N228" s="37" t="s">
        <v>647</v>
      </c>
      <c r="O228" s="41"/>
      <c r="P228" s="39">
        <f>SUM(P229:P245)</f>
        <v>10.6</v>
      </c>
      <c r="Q228" s="37" t="s">
        <v>647</v>
      </c>
      <c r="R228" s="41"/>
      <c r="S228" s="39">
        <f>SUM(S229:S245)</f>
        <v>11.100000000000001</v>
      </c>
      <c r="T228" s="37" t="s">
        <v>647</v>
      </c>
      <c r="U228" s="41"/>
      <c r="V228" s="39">
        <f>SUM(V229:V245)</f>
        <v>10.9</v>
      </c>
      <c r="W228" s="40"/>
      <c r="X228" s="41"/>
      <c r="Y228" s="39">
        <f>SUM(Y229:Y245)</f>
        <v>10.5</v>
      </c>
      <c r="Z228" s="42"/>
      <c r="AA228" s="43"/>
      <c r="AB228" s="39">
        <f>SUM(AB229:AB245)</f>
        <v>11.4</v>
      </c>
    </row>
    <row r="229" spans="1:28" ht="13.5" customHeight="1">
      <c r="A229" s="27"/>
      <c r="B229" s="44"/>
      <c r="C229" s="36"/>
      <c r="D229" s="6"/>
      <c r="E229" s="46"/>
      <c r="F229" s="101"/>
      <c r="G229" s="48"/>
      <c r="H229" s="46"/>
      <c r="I229" s="101"/>
      <c r="J229" s="48"/>
      <c r="K229" s="46"/>
      <c r="L229" s="101"/>
      <c r="M229" s="48"/>
      <c r="N229" s="46"/>
      <c r="O229" s="101"/>
      <c r="P229" s="48"/>
      <c r="Q229" s="102"/>
      <c r="R229" s="101"/>
      <c r="S229" s="103"/>
      <c r="T229" s="102"/>
      <c r="U229" s="101"/>
      <c r="V229" s="103"/>
      <c r="W229" s="102"/>
      <c r="X229" s="101"/>
      <c r="Y229" s="103"/>
      <c r="Z229" s="49"/>
      <c r="AA229" s="50"/>
      <c r="AB229" s="51"/>
    </row>
    <row r="230" spans="1:28" ht="13.5" customHeight="1">
      <c r="A230" s="27"/>
      <c r="B230" s="44"/>
      <c r="C230" s="36"/>
      <c r="D230" s="6"/>
      <c r="E230" s="46"/>
      <c r="F230" s="101"/>
      <c r="G230" s="48"/>
      <c r="H230" s="46"/>
      <c r="I230" s="101"/>
      <c r="J230" s="48"/>
      <c r="K230" s="46"/>
      <c r="L230" s="101"/>
      <c r="M230" s="48"/>
      <c r="N230" s="46"/>
      <c r="O230" s="101"/>
      <c r="P230" s="48"/>
      <c r="Q230" s="102"/>
      <c r="R230" s="101"/>
      <c r="S230" s="103"/>
      <c r="T230" s="102"/>
      <c r="U230" s="101"/>
      <c r="V230" s="103"/>
      <c r="W230" s="102"/>
      <c r="X230" s="101"/>
      <c r="Y230" s="103"/>
      <c r="Z230" s="49"/>
      <c r="AA230" s="50"/>
      <c r="AB230" s="51"/>
    </row>
    <row r="231" spans="1:28" ht="13.5" customHeight="1">
      <c r="A231" s="27"/>
      <c r="B231" s="44"/>
      <c r="C231" s="36"/>
      <c r="D231" s="6"/>
      <c r="E231" s="46" t="s">
        <v>648</v>
      </c>
      <c r="F231" s="47" t="s">
        <v>3027</v>
      </c>
      <c r="G231" s="48">
        <v>4.4000000000000004</v>
      </c>
      <c r="H231" s="46" t="s">
        <v>648</v>
      </c>
      <c r="I231" s="47" t="s">
        <v>3027</v>
      </c>
      <c r="J231" s="48">
        <v>4.5999999999999996</v>
      </c>
      <c r="K231" s="46" t="s">
        <v>648</v>
      </c>
      <c r="L231" s="47" t="s">
        <v>2548</v>
      </c>
      <c r="M231" s="48">
        <v>6.4</v>
      </c>
      <c r="N231" s="46" t="s">
        <v>648</v>
      </c>
      <c r="O231" s="47" t="s">
        <v>2548</v>
      </c>
      <c r="P231" s="48">
        <v>6.1</v>
      </c>
      <c r="Q231" s="46" t="s">
        <v>648</v>
      </c>
      <c r="R231" s="47" t="s">
        <v>649</v>
      </c>
      <c r="S231" s="48">
        <v>3.4</v>
      </c>
      <c r="T231" s="46" t="s">
        <v>648</v>
      </c>
      <c r="U231" s="47" t="s">
        <v>649</v>
      </c>
      <c r="V231" s="48">
        <v>3.7</v>
      </c>
      <c r="W231" s="46" t="s">
        <v>650</v>
      </c>
      <c r="X231" s="47" t="s">
        <v>2549</v>
      </c>
      <c r="Y231" s="48">
        <v>2.9</v>
      </c>
      <c r="Z231" s="49" t="s">
        <v>651</v>
      </c>
      <c r="AA231" s="50" t="s">
        <v>649</v>
      </c>
      <c r="AB231" s="51">
        <v>3.2</v>
      </c>
    </row>
    <row r="232" spans="1:28" ht="13.5" customHeight="1">
      <c r="A232" s="27"/>
      <c r="B232" s="44"/>
      <c r="C232" s="36"/>
      <c r="D232" s="6"/>
      <c r="E232" s="46"/>
      <c r="F232" s="47"/>
      <c r="G232" s="48"/>
      <c r="H232" s="46"/>
      <c r="I232" s="47"/>
      <c r="J232" s="48"/>
      <c r="K232" s="46"/>
      <c r="L232" s="47"/>
      <c r="M232" s="48"/>
      <c r="N232" s="46"/>
      <c r="O232" s="47"/>
      <c r="P232" s="48"/>
      <c r="Q232" s="46"/>
      <c r="R232" s="47"/>
      <c r="S232" s="48"/>
      <c r="T232" s="46"/>
      <c r="U232" s="47"/>
      <c r="V232" s="48"/>
      <c r="W232" s="46"/>
      <c r="X232" s="47"/>
      <c r="Y232" s="48"/>
      <c r="Z232" s="49"/>
      <c r="AA232" s="50"/>
      <c r="AB232" s="51"/>
    </row>
    <row r="233" spans="1:28" ht="13.5" customHeight="1">
      <c r="A233" s="27"/>
      <c r="B233" s="44"/>
      <c r="C233" s="36"/>
      <c r="D233" s="6"/>
      <c r="E233" s="46"/>
      <c r="F233" s="47"/>
      <c r="G233" s="48"/>
      <c r="H233" s="46"/>
      <c r="I233" s="47"/>
      <c r="J233" s="48"/>
      <c r="K233" s="46"/>
      <c r="L233" s="47"/>
      <c r="M233" s="48"/>
      <c r="N233" s="46"/>
      <c r="O233" s="47"/>
      <c r="P233" s="48"/>
      <c r="Q233" s="46"/>
      <c r="R233" s="47"/>
      <c r="S233" s="48"/>
      <c r="T233" s="46"/>
      <c r="U233" s="47"/>
      <c r="V233" s="48"/>
      <c r="W233" s="46"/>
      <c r="X233" s="47"/>
      <c r="Y233" s="48"/>
      <c r="Z233" s="49"/>
      <c r="AA233" s="50"/>
      <c r="AB233" s="51"/>
    </row>
    <row r="234" spans="1:28" ht="13.5" customHeight="1">
      <c r="A234" s="27"/>
      <c r="B234" s="44"/>
      <c r="C234" s="36"/>
      <c r="D234" s="6"/>
      <c r="E234" s="46"/>
      <c r="F234" s="47"/>
      <c r="G234" s="48"/>
      <c r="H234" s="46"/>
      <c r="I234" s="47"/>
      <c r="J234" s="48"/>
      <c r="K234" s="46"/>
      <c r="L234" s="47"/>
      <c r="M234" s="48"/>
      <c r="N234" s="46"/>
      <c r="O234" s="47"/>
      <c r="P234" s="48"/>
      <c r="Q234" s="46"/>
      <c r="R234" s="47"/>
      <c r="S234" s="48"/>
      <c r="T234" s="46"/>
      <c r="U234" s="47"/>
      <c r="V234" s="48"/>
      <c r="W234" s="46"/>
      <c r="X234" s="47"/>
      <c r="Y234" s="48"/>
      <c r="Z234" s="49"/>
      <c r="AA234" s="50"/>
      <c r="AB234" s="51"/>
    </row>
    <row r="235" spans="1:28" ht="13.5" customHeight="1">
      <c r="A235" s="27"/>
      <c r="B235" s="44"/>
      <c r="C235" s="36"/>
      <c r="D235" s="6"/>
      <c r="E235" s="46"/>
      <c r="F235" s="47"/>
      <c r="G235" s="48"/>
      <c r="H235" s="46"/>
      <c r="I235" s="47"/>
      <c r="J235" s="48"/>
      <c r="K235" s="46"/>
      <c r="L235" s="47"/>
      <c r="M235" s="48"/>
      <c r="N235" s="46"/>
      <c r="O235" s="47"/>
      <c r="P235" s="48"/>
      <c r="Q235" s="46" t="s">
        <v>652</v>
      </c>
      <c r="R235" s="47" t="s">
        <v>653</v>
      </c>
      <c r="S235" s="48">
        <v>2.6</v>
      </c>
      <c r="T235" s="46" t="s">
        <v>652</v>
      </c>
      <c r="U235" s="47" t="s">
        <v>653</v>
      </c>
      <c r="V235" s="48">
        <v>2.1</v>
      </c>
      <c r="W235" s="46" t="s">
        <v>654</v>
      </c>
      <c r="X235" s="47" t="s">
        <v>2550</v>
      </c>
      <c r="Y235" s="48">
        <v>0.3</v>
      </c>
      <c r="Z235" s="49" t="s">
        <v>655</v>
      </c>
      <c r="AA235" s="50" t="s">
        <v>656</v>
      </c>
      <c r="AB235" s="51">
        <v>0.6</v>
      </c>
    </row>
    <row r="236" spans="1:28" ht="13.5" customHeight="1">
      <c r="A236" s="104"/>
      <c r="B236" s="105"/>
      <c r="C236" s="44"/>
      <c r="D236" s="6"/>
      <c r="E236" s="46"/>
      <c r="F236" s="47"/>
      <c r="G236" s="48"/>
      <c r="H236" s="46"/>
      <c r="I236" s="47"/>
      <c r="J236" s="48"/>
      <c r="K236" s="46"/>
      <c r="L236" s="47"/>
      <c r="M236" s="48"/>
      <c r="N236" s="46"/>
      <c r="O236" s="47"/>
      <c r="P236" s="48"/>
      <c r="Q236" s="46"/>
      <c r="R236" s="47"/>
      <c r="S236" s="48"/>
      <c r="T236" s="46"/>
      <c r="U236" s="47"/>
      <c r="V236" s="48"/>
      <c r="W236" s="46" t="s">
        <v>657</v>
      </c>
      <c r="X236" s="47" t="s">
        <v>2551</v>
      </c>
      <c r="Y236" s="48">
        <v>1.4</v>
      </c>
      <c r="Z236" s="49" t="s">
        <v>658</v>
      </c>
      <c r="AA236" s="50" t="s">
        <v>659</v>
      </c>
      <c r="AB236" s="51">
        <v>0.9</v>
      </c>
    </row>
    <row r="237" spans="1:28" ht="13.5" customHeight="1">
      <c r="A237" s="104"/>
      <c r="B237" s="105"/>
      <c r="C237" s="44"/>
      <c r="D237" s="6"/>
      <c r="E237" s="46" t="s">
        <v>670</v>
      </c>
      <c r="F237" s="47" t="s">
        <v>660</v>
      </c>
      <c r="G237" s="48">
        <v>1.3</v>
      </c>
      <c r="H237" s="46" t="s">
        <v>670</v>
      </c>
      <c r="I237" s="47" t="s">
        <v>660</v>
      </c>
      <c r="J237" s="48">
        <v>1.3</v>
      </c>
      <c r="K237" s="46" t="s">
        <v>666</v>
      </c>
      <c r="L237" s="47" t="s">
        <v>660</v>
      </c>
      <c r="M237" s="48">
        <v>1.6</v>
      </c>
      <c r="N237" s="46" t="s">
        <v>666</v>
      </c>
      <c r="O237" s="47" t="s">
        <v>660</v>
      </c>
      <c r="P237" s="48">
        <v>1.6</v>
      </c>
      <c r="Q237" s="46" t="s">
        <v>661</v>
      </c>
      <c r="R237" s="47" t="s">
        <v>660</v>
      </c>
      <c r="S237" s="48">
        <v>1.4</v>
      </c>
      <c r="T237" s="46" t="s">
        <v>661</v>
      </c>
      <c r="U237" s="47" t="s">
        <v>660</v>
      </c>
      <c r="V237" s="48">
        <v>1.5</v>
      </c>
      <c r="W237" s="46" t="s">
        <v>662</v>
      </c>
      <c r="X237" s="47" t="s">
        <v>2552</v>
      </c>
      <c r="Y237" s="48">
        <v>2.5</v>
      </c>
      <c r="Z237" s="49" t="s">
        <v>663</v>
      </c>
      <c r="AA237" s="50" t="s">
        <v>664</v>
      </c>
      <c r="AB237" s="51">
        <v>2.9</v>
      </c>
    </row>
    <row r="238" spans="1:28" ht="13.5" customHeight="1">
      <c r="A238" s="104"/>
      <c r="B238" s="105"/>
      <c r="C238" s="44"/>
      <c r="D238" s="6"/>
      <c r="E238" s="46"/>
      <c r="F238" s="47"/>
      <c r="G238" s="48"/>
      <c r="H238" s="46"/>
      <c r="I238" s="47"/>
      <c r="J238" s="48"/>
      <c r="K238" s="46" t="s">
        <v>670</v>
      </c>
      <c r="L238" s="47" t="s">
        <v>665</v>
      </c>
      <c r="M238" s="48">
        <v>0.5</v>
      </c>
      <c r="N238" s="46" t="s">
        <v>670</v>
      </c>
      <c r="O238" s="47" t="s">
        <v>665</v>
      </c>
      <c r="P238" s="48">
        <v>0.5</v>
      </c>
      <c r="Q238" s="46" t="s">
        <v>666</v>
      </c>
      <c r="R238" s="47" t="s">
        <v>665</v>
      </c>
      <c r="S238" s="48">
        <v>0.9</v>
      </c>
      <c r="T238" s="46" t="s">
        <v>666</v>
      </c>
      <c r="U238" s="47" t="s">
        <v>665</v>
      </c>
      <c r="V238" s="48">
        <v>0.7</v>
      </c>
      <c r="W238" s="46" t="s">
        <v>667</v>
      </c>
      <c r="X238" s="47" t="s">
        <v>2553</v>
      </c>
      <c r="Y238" s="48">
        <v>0.8</v>
      </c>
      <c r="Z238" s="49" t="s">
        <v>668</v>
      </c>
      <c r="AA238" s="50" t="s">
        <v>665</v>
      </c>
      <c r="AB238" s="51">
        <v>0.6</v>
      </c>
    </row>
    <row r="239" spans="1:28" ht="13.5" customHeight="1">
      <c r="A239" s="104"/>
      <c r="B239" s="105"/>
      <c r="C239" s="44"/>
      <c r="D239" s="6"/>
      <c r="E239" s="46" t="s">
        <v>652</v>
      </c>
      <c r="F239" s="47" t="s">
        <v>669</v>
      </c>
      <c r="G239" s="48">
        <v>1.5</v>
      </c>
      <c r="H239" s="46" t="s">
        <v>652</v>
      </c>
      <c r="I239" s="47" t="s">
        <v>669</v>
      </c>
      <c r="J239" s="48">
        <v>1.4</v>
      </c>
      <c r="K239" s="46" t="s">
        <v>652</v>
      </c>
      <c r="L239" s="47" t="s">
        <v>669</v>
      </c>
      <c r="M239" s="48">
        <v>1.5</v>
      </c>
      <c r="N239" s="46" t="s">
        <v>652</v>
      </c>
      <c r="O239" s="47" t="s">
        <v>669</v>
      </c>
      <c r="P239" s="48">
        <v>1.5</v>
      </c>
      <c r="Q239" s="46" t="s">
        <v>670</v>
      </c>
      <c r="R239" s="47" t="s">
        <v>669</v>
      </c>
      <c r="S239" s="48">
        <v>1.4</v>
      </c>
      <c r="T239" s="46" t="s">
        <v>670</v>
      </c>
      <c r="U239" s="47" t="s">
        <v>669</v>
      </c>
      <c r="V239" s="48">
        <v>1.4</v>
      </c>
      <c r="W239" s="46" t="s">
        <v>671</v>
      </c>
      <c r="X239" s="47" t="s">
        <v>2554</v>
      </c>
      <c r="Y239" s="48">
        <v>0.7</v>
      </c>
      <c r="Z239" s="49" t="s">
        <v>672</v>
      </c>
      <c r="AA239" s="50" t="s">
        <v>673</v>
      </c>
      <c r="AB239" s="51">
        <v>0.7</v>
      </c>
    </row>
    <row r="240" spans="1:28" ht="13.5" customHeight="1">
      <c r="A240" s="104"/>
      <c r="B240" s="105"/>
      <c r="C240" s="44"/>
      <c r="D240" s="6"/>
      <c r="E240" s="46"/>
      <c r="F240" s="47"/>
      <c r="G240" s="48"/>
      <c r="H240" s="46"/>
      <c r="I240" s="47"/>
      <c r="J240" s="48"/>
      <c r="K240" s="46"/>
      <c r="L240" s="47"/>
      <c r="M240" s="48"/>
      <c r="N240" s="46"/>
      <c r="O240" s="47"/>
      <c r="P240" s="48"/>
      <c r="Q240" s="46"/>
      <c r="R240" s="47"/>
      <c r="S240" s="48"/>
      <c r="T240" s="46"/>
      <c r="U240" s="47"/>
      <c r="V240" s="48"/>
      <c r="W240" s="46"/>
      <c r="X240" s="47"/>
      <c r="Y240" s="48"/>
      <c r="Z240" s="49"/>
      <c r="AA240" s="50"/>
      <c r="AB240" s="51"/>
    </row>
    <row r="241" spans="1:28" ht="13.5" customHeight="1">
      <c r="A241" s="104"/>
      <c r="B241" s="105"/>
      <c r="C241" s="44"/>
      <c r="D241" s="6"/>
      <c r="E241" s="46"/>
      <c r="F241" s="47"/>
      <c r="G241" s="48"/>
      <c r="H241" s="46"/>
      <c r="I241" s="47"/>
      <c r="J241" s="48"/>
      <c r="K241" s="46"/>
      <c r="L241" s="47"/>
      <c r="M241" s="48"/>
      <c r="N241" s="46"/>
      <c r="O241" s="47"/>
      <c r="P241" s="48"/>
      <c r="Q241" s="46"/>
      <c r="R241" s="47"/>
      <c r="S241" s="48"/>
      <c r="T241" s="46"/>
      <c r="U241" s="47"/>
      <c r="V241" s="48"/>
      <c r="W241" s="46" t="s">
        <v>674</v>
      </c>
      <c r="X241" s="47" t="s">
        <v>2555</v>
      </c>
      <c r="Y241" s="48">
        <v>0.8</v>
      </c>
      <c r="Z241" s="49" t="s">
        <v>675</v>
      </c>
      <c r="AA241" s="50" t="s">
        <v>676</v>
      </c>
      <c r="AB241" s="51">
        <v>1.3</v>
      </c>
    </row>
    <row r="242" spans="1:28" ht="13.5" customHeight="1">
      <c r="A242" s="104"/>
      <c r="B242" s="105"/>
      <c r="C242" s="44"/>
      <c r="D242" s="6"/>
      <c r="E242" s="46"/>
      <c r="F242" s="47"/>
      <c r="G242" s="48"/>
      <c r="H242" s="46"/>
      <c r="I242" s="47"/>
      <c r="J242" s="48"/>
      <c r="K242" s="46"/>
      <c r="L242" s="47"/>
      <c r="M242" s="48"/>
      <c r="N242" s="46"/>
      <c r="O242" s="47"/>
      <c r="P242" s="48"/>
      <c r="Q242" s="46"/>
      <c r="R242" s="47"/>
      <c r="S242" s="48"/>
      <c r="T242" s="46"/>
      <c r="U242" s="47"/>
      <c r="V242" s="48"/>
      <c r="W242" s="46"/>
      <c r="X242" s="47"/>
      <c r="Y242" s="48"/>
      <c r="Z242" s="49"/>
      <c r="AA242" s="50"/>
      <c r="AB242" s="51"/>
    </row>
    <row r="243" spans="1:28" ht="13.5" customHeight="1">
      <c r="A243" s="104"/>
      <c r="B243" s="105"/>
      <c r="C243" s="44"/>
      <c r="D243" s="6"/>
      <c r="E243" s="46" t="s">
        <v>666</v>
      </c>
      <c r="F243" s="47" t="s">
        <v>677</v>
      </c>
      <c r="G243" s="48">
        <v>0.7</v>
      </c>
      <c r="H243" s="46" t="s">
        <v>666</v>
      </c>
      <c r="I243" s="47" t="s">
        <v>677</v>
      </c>
      <c r="J243" s="48">
        <v>0.8</v>
      </c>
      <c r="K243" s="46" t="s">
        <v>661</v>
      </c>
      <c r="L243" s="47" t="s">
        <v>677</v>
      </c>
      <c r="M243" s="48">
        <v>0.9</v>
      </c>
      <c r="N243" s="46" t="s">
        <v>661</v>
      </c>
      <c r="O243" s="47" t="s">
        <v>677</v>
      </c>
      <c r="P243" s="48">
        <v>0.9</v>
      </c>
      <c r="Q243" s="46" t="s">
        <v>678</v>
      </c>
      <c r="R243" s="47" t="s">
        <v>677</v>
      </c>
      <c r="S243" s="48">
        <v>1.4</v>
      </c>
      <c r="T243" s="46" t="s">
        <v>678</v>
      </c>
      <c r="U243" s="47" t="s">
        <v>677</v>
      </c>
      <c r="V243" s="48">
        <v>1.5</v>
      </c>
      <c r="W243" s="46" t="s">
        <v>679</v>
      </c>
      <c r="X243" s="47" t="s">
        <v>2556</v>
      </c>
      <c r="Y243" s="48">
        <v>0.2</v>
      </c>
      <c r="Z243" s="49" t="s">
        <v>680</v>
      </c>
      <c r="AA243" s="50" t="s">
        <v>677</v>
      </c>
      <c r="AB243" s="51">
        <v>0.4</v>
      </c>
    </row>
    <row r="244" spans="1:28" ht="13.5" customHeight="1">
      <c r="A244" s="104"/>
      <c r="B244" s="105"/>
      <c r="C244" s="44"/>
      <c r="D244" s="6"/>
      <c r="E244" s="46"/>
      <c r="F244" s="47"/>
      <c r="G244" s="48"/>
      <c r="H244" s="46"/>
      <c r="I244" s="47"/>
      <c r="J244" s="48"/>
      <c r="K244" s="46"/>
      <c r="L244" s="47"/>
      <c r="M244" s="48"/>
      <c r="N244" s="46"/>
      <c r="O244" s="47"/>
      <c r="P244" s="48"/>
      <c r="Q244" s="46"/>
      <c r="R244" s="47"/>
      <c r="S244" s="48"/>
      <c r="T244" s="46"/>
      <c r="U244" s="47"/>
      <c r="V244" s="48"/>
      <c r="W244" s="46" t="s">
        <v>681</v>
      </c>
      <c r="X244" s="47" t="s">
        <v>2557</v>
      </c>
      <c r="Y244" s="48">
        <v>0.5</v>
      </c>
      <c r="Z244" s="49" t="s">
        <v>682</v>
      </c>
      <c r="AA244" s="50" t="s">
        <v>683</v>
      </c>
      <c r="AB244" s="51">
        <v>0.4</v>
      </c>
    </row>
    <row r="245" spans="1:28" ht="13.5" customHeight="1">
      <c r="A245" s="27"/>
      <c r="B245" s="44"/>
      <c r="C245" s="82"/>
      <c r="D245" s="83"/>
      <c r="E245" s="46"/>
      <c r="F245" s="75"/>
      <c r="G245" s="48"/>
      <c r="H245" s="46"/>
      <c r="I245" s="75"/>
      <c r="J245" s="48"/>
      <c r="K245" s="46"/>
      <c r="L245" s="75"/>
      <c r="M245" s="48"/>
      <c r="N245" s="46"/>
      <c r="O245" s="75"/>
      <c r="P245" s="48"/>
      <c r="Q245" s="76"/>
      <c r="R245" s="75"/>
      <c r="S245" s="77"/>
      <c r="T245" s="76"/>
      <c r="U245" s="75"/>
      <c r="V245" s="77"/>
      <c r="W245" s="76" t="s">
        <v>684</v>
      </c>
      <c r="X245" s="75" t="s">
        <v>2558</v>
      </c>
      <c r="Y245" s="77">
        <v>0.4</v>
      </c>
      <c r="Z245" s="78" t="s">
        <v>685</v>
      </c>
      <c r="AA245" s="79" t="s">
        <v>686</v>
      </c>
      <c r="AB245" s="80">
        <v>0.4</v>
      </c>
    </row>
    <row r="246" spans="1:28" ht="13.5" customHeight="1">
      <c r="A246" s="27"/>
      <c r="B246" s="44"/>
      <c r="C246" s="36" t="s">
        <v>687</v>
      </c>
      <c r="D246" s="6" t="s">
        <v>688</v>
      </c>
      <c r="E246" s="37" t="s">
        <v>689</v>
      </c>
      <c r="F246" s="71"/>
      <c r="G246" s="39">
        <f>SUM(G247:G267)</f>
        <v>13.700000000000001</v>
      </c>
      <c r="H246" s="37" t="s">
        <v>689</v>
      </c>
      <c r="I246" s="71"/>
      <c r="J246" s="39">
        <f>SUM(J247:J267)</f>
        <v>13.5</v>
      </c>
      <c r="K246" s="37" t="s">
        <v>689</v>
      </c>
      <c r="L246" s="71"/>
      <c r="M246" s="39">
        <f>SUM(M247:M267)</f>
        <v>16.899999999999999</v>
      </c>
      <c r="N246" s="37" t="s">
        <v>689</v>
      </c>
      <c r="O246" s="71"/>
      <c r="P246" s="39">
        <f>SUM(P247:P267)</f>
        <v>16.8</v>
      </c>
      <c r="Q246" s="37" t="s">
        <v>689</v>
      </c>
      <c r="R246" s="71"/>
      <c r="S246" s="39">
        <f>SUM(S247:S267)</f>
        <v>17.899999999999999</v>
      </c>
      <c r="T246" s="37" t="s">
        <v>689</v>
      </c>
      <c r="U246" s="71"/>
      <c r="V246" s="39">
        <f>SUM(V247:V267)</f>
        <v>17.799999999999997</v>
      </c>
      <c r="W246" s="72"/>
      <c r="X246" s="71"/>
      <c r="Y246" s="39">
        <f>SUM(Y247:Y267)</f>
        <v>18.400000000000002</v>
      </c>
      <c r="Z246" s="73"/>
      <c r="AA246" s="74"/>
      <c r="AB246" s="39">
        <f>SUM(AB247:AB267)</f>
        <v>18.099999999999998</v>
      </c>
    </row>
    <row r="247" spans="1:28" ht="13.5" customHeight="1">
      <c r="A247" s="27"/>
      <c r="B247" s="44"/>
      <c r="C247" s="44"/>
      <c r="D247" s="45"/>
      <c r="E247" s="46"/>
      <c r="F247" s="101"/>
      <c r="G247" s="48"/>
      <c r="H247" s="46"/>
      <c r="I247" s="101"/>
      <c r="J247" s="48"/>
      <c r="K247" s="46"/>
      <c r="L247" s="101"/>
      <c r="M247" s="48"/>
      <c r="N247" s="46"/>
      <c r="O247" s="101"/>
      <c r="P247" s="48"/>
      <c r="Q247" s="102"/>
      <c r="R247" s="101"/>
      <c r="S247" s="103"/>
      <c r="T247" s="102"/>
      <c r="U247" s="101"/>
      <c r="V247" s="103"/>
      <c r="W247" s="102"/>
      <c r="X247" s="101"/>
      <c r="Y247" s="103"/>
      <c r="Z247" s="49"/>
      <c r="AA247" s="50"/>
      <c r="AB247" s="51"/>
    </row>
    <row r="248" spans="1:28" ht="13.5" customHeight="1">
      <c r="A248" s="27"/>
      <c r="B248" s="44"/>
      <c r="C248" s="36"/>
      <c r="D248" s="6"/>
      <c r="E248" s="46"/>
      <c r="F248" s="101"/>
      <c r="G248" s="48"/>
      <c r="H248" s="46"/>
      <c r="I248" s="101"/>
      <c r="J248" s="48"/>
      <c r="K248" s="46"/>
      <c r="L248" s="101"/>
      <c r="M248" s="48"/>
      <c r="N248" s="46"/>
      <c r="O248" s="101"/>
      <c r="P248" s="48"/>
      <c r="Q248" s="102"/>
      <c r="R248" s="101"/>
      <c r="S248" s="103"/>
      <c r="T248" s="102"/>
      <c r="U248" s="101"/>
      <c r="V248" s="103"/>
      <c r="W248" s="102"/>
      <c r="X248" s="101"/>
      <c r="Y248" s="103"/>
      <c r="Z248" s="49"/>
      <c r="AA248" s="50"/>
      <c r="AB248" s="51"/>
    </row>
    <row r="249" spans="1:28" ht="13.5" customHeight="1">
      <c r="A249" s="27"/>
      <c r="B249" s="44"/>
      <c r="C249" s="36"/>
      <c r="D249" s="6"/>
      <c r="E249" s="46"/>
      <c r="F249" s="101"/>
      <c r="G249" s="48"/>
      <c r="H249" s="46"/>
      <c r="I249" s="101"/>
      <c r="J249" s="48"/>
      <c r="K249" s="46"/>
      <c r="L249" s="101"/>
      <c r="M249" s="48"/>
      <c r="N249" s="46"/>
      <c r="O249" s="101"/>
      <c r="P249" s="48"/>
      <c r="Q249" s="102"/>
      <c r="R249" s="101"/>
      <c r="S249" s="103"/>
      <c r="T249" s="102"/>
      <c r="U249" s="101"/>
      <c r="V249" s="103"/>
      <c r="W249" s="102"/>
      <c r="X249" s="101"/>
      <c r="Y249" s="103"/>
      <c r="Z249" s="49"/>
      <c r="AA249" s="50"/>
      <c r="AB249" s="51"/>
    </row>
    <row r="250" spans="1:28" ht="13.5" customHeight="1">
      <c r="A250" s="27"/>
      <c r="B250" s="44"/>
      <c r="C250" s="44"/>
      <c r="D250" s="45"/>
      <c r="E250" s="46" t="s">
        <v>690</v>
      </c>
      <c r="F250" s="47" t="s">
        <v>3026</v>
      </c>
      <c r="G250" s="48">
        <v>6.2</v>
      </c>
      <c r="H250" s="46" t="s">
        <v>690</v>
      </c>
      <c r="I250" s="47" t="s">
        <v>3026</v>
      </c>
      <c r="J250" s="48">
        <v>5.9</v>
      </c>
      <c r="K250" s="46" t="s">
        <v>690</v>
      </c>
      <c r="L250" s="47" t="s">
        <v>2559</v>
      </c>
      <c r="M250" s="48">
        <v>7.1</v>
      </c>
      <c r="N250" s="46" t="s">
        <v>690</v>
      </c>
      <c r="O250" s="47" t="s">
        <v>2559</v>
      </c>
      <c r="P250" s="48">
        <v>6.8</v>
      </c>
      <c r="Q250" s="46" t="s">
        <v>690</v>
      </c>
      <c r="R250" s="47" t="s">
        <v>691</v>
      </c>
      <c r="S250" s="48">
        <v>3.3</v>
      </c>
      <c r="T250" s="46" t="s">
        <v>690</v>
      </c>
      <c r="U250" s="47" t="s">
        <v>691</v>
      </c>
      <c r="V250" s="48">
        <v>4.5</v>
      </c>
      <c r="W250" s="46" t="s">
        <v>692</v>
      </c>
      <c r="X250" s="47" t="s">
        <v>2560</v>
      </c>
      <c r="Y250" s="48">
        <v>2</v>
      </c>
      <c r="Z250" s="49" t="s">
        <v>693</v>
      </c>
      <c r="AA250" s="50" t="s">
        <v>691</v>
      </c>
      <c r="AB250" s="51">
        <v>4.5</v>
      </c>
    </row>
    <row r="251" spans="1:28" ht="13.5" customHeight="1">
      <c r="A251" s="27"/>
      <c r="B251" s="44"/>
      <c r="C251" s="36"/>
      <c r="D251" s="6"/>
      <c r="E251" s="46"/>
      <c r="F251" s="47"/>
      <c r="G251" s="48"/>
      <c r="H251" s="46"/>
      <c r="I251" s="47"/>
      <c r="J251" s="48"/>
      <c r="K251" s="46"/>
      <c r="L251" s="47"/>
      <c r="M251" s="48"/>
      <c r="N251" s="46"/>
      <c r="O251" s="47"/>
      <c r="P251" s="48"/>
      <c r="Q251" s="46"/>
      <c r="R251" s="47"/>
      <c r="S251" s="48"/>
      <c r="T251" s="46"/>
      <c r="U251" s="47"/>
      <c r="V251" s="48"/>
      <c r="W251" s="46"/>
      <c r="X251" s="47"/>
      <c r="Y251" s="48"/>
      <c r="Z251" s="49"/>
      <c r="AA251" s="50"/>
      <c r="AB251" s="51"/>
    </row>
    <row r="252" spans="1:28" ht="13.5" customHeight="1">
      <c r="A252" s="27"/>
      <c r="B252" s="44"/>
      <c r="C252" s="36"/>
      <c r="D252" s="6"/>
      <c r="E252" s="46"/>
      <c r="F252" s="47"/>
      <c r="G252" s="48"/>
      <c r="H252" s="46"/>
      <c r="I252" s="47"/>
      <c r="J252" s="48"/>
      <c r="K252" s="46"/>
      <c r="L252" s="47"/>
      <c r="M252" s="48"/>
      <c r="N252" s="46"/>
      <c r="O252" s="47"/>
      <c r="P252" s="48"/>
      <c r="Q252" s="46"/>
      <c r="R252" s="47"/>
      <c r="S252" s="48"/>
      <c r="T252" s="46"/>
      <c r="U252" s="47"/>
      <c r="V252" s="48"/>
      <c r="W252" s="46"/>
      <c r="X252" s="47"/>
      <c r="Y252" s="48"/>
      <c r="Z252" s="49"/>
      <c r="AA252" s="50"/>
      <c r="AB252" s="51"/>
    </row>
    <row r="253" spans="1:28" ht="13.5" customHeight="1">
      <c r="A253" s="27"/>
      <c r="B253" s="44"/>
      <c r="C253" s="36"/>
      <c r="D253" s="6"/>
      <c r="E253" s="46"/>
      <c r="F253" s="47"/>
      <c r="G253" s="48"/>
      <c r="H253" s="46"/>
      <c r="I253" s="47"/>
      <c r="J253" s="48"/>
      <c r="K253" s="46"/>
      <c r="L253" s="47"/>
      <c r="M253" s="48"/>
      <c r="N253" s="46"/>
      <c r="O253" s="47"/>
      <c r="P253" s="48"/>
      <c r="Q253" s="46"/>
      <c r="R253" s="47"/>
      <c r="S253" s="48"/>
      <c r="T253" s="46"/>
      <c r="U253" s="47"/>
      <c r="V253" s="48"/>
      <c r="W253" s="46"/>
      <c r="X253" s="47"/>
      <c r="Y253" s="48"/>
      <c r="Z253" s="49"/>
      <c r="AA253" s="50"/>
      <c r="AB253" s="51"/>
    </row>
    <row r="254" spans="1:28" ht="13.5" customHeight="1">
      <c r="A254" s="27"/>
      <c r="B254" s="44"/>
      <c r="C254" s="36"/>
      <c r="D254" s="6"/>
      <c r="E254" s="46"/>
      <c r="F254" s="47"/>
      <c r="G254" s="48"/>
      <c r="H254" s="46"/>
      <c r="I254" s="47"/>
      <c r="J254" s="48"/>
      <c r="K254" s="46"/>
      <c r="L254" s="47"/>
      <c r="M254" s="48"/>
      <c r="N254" s="46"/>
      <c r="O254" s="47"/>
      <c r="P254" s="48"/>
      <c r="Q254" s="46" t="s">
        <v>694</v>
      </c>
      <c r="R254" s="47" t="s">
        <v>695</v>
      </c>
      <c r="S254" s="48">
        <v>7</v>
      </c>
      <c r="T254" s="46" t="s">
        <v>694</v>
      </c>
      <c r="U254" s="47" t="s">
        <v>695</v>
      </c>
      <c r="V254" s="48">
        <v>6.5</v>
      </c>
      <c r="W254" s="46" t="s">
        <v>696</v>
      </c>
      <c r="X254" s="47" t="s">
        <v>2561</v>
      </c>
      <c r="Y254" s="48">
        <v>1.3</v>
      </c>
      <c r="Z254" s="49" t="s">
        <v>697</v>
      </c>
      <c r="AA254" s="50" t="s">
        <v>698</v>
      </c>
      <c r="AB254" s="51">
        <v>2.4</v>
      </c>
    </row>
    <row r="255" spans="1:28" ht="13.5" customHeight="1">
      <c r="A255" s="27"/>
      <c r="B255" s="44"/>
      <c r="C255" s="36"/>
      <c r="D255" s="6"/>
      <c r="E255" s="46"/>
      <c r="F255" s="47"/>
      <c r="G255" s="48"/>
      <c r="H255" s="46"/>
      <c r="I255" s="47"/>
      <c r="J255" s="48"/>
      <c r="K255" s="46"/>
      <c r="L255" s="47"/>
      <c r="M255" s="48"/>
      <c r="N255" s="46"/>
      <c r="O255" s="47"/>
      <c r="P255" s="48"/>
      <c r="Q255" s="46"/>
      <c r="R255" s="47"/>
      <c r="S255" s="48"/>
      <c r="T255" s="46"/>
      <c r="U255" s="47"/>
      <c r="V255" s="48"/>
      <c r="W255" s="46" t="s">
        <v>699</v>
      </c>
      <c r="X255" s="47" t="s">
        <v>2562</v>
      </c>
      <c r="Y255" s="48">
        <v>4.5999999999999996</v>
      </c>
      <c r="Z255" s="49" t="s">
        <v>700</v>
      </c>
      <c r="AA255" s="50" t="s">
        <v>701</v>
      </c>
      <c r="AB255" s="51">
        <v>2.2999999999999998</v>
      </c>
    </row>
    <row r="256" spans="1:28" ht="13.5" customHeight="1">
      <c r="A256" s="27"/>
      <c r="B256" s="44"/>
      <c r="C256" s="36"/>
      <c r="D256" s="6"/>
      <c r="E256" s="46"/>
      <c r="F256" s="106"/>
      <c r="G256" s="48"/>
      <c r="H256" s="46"/>
      <c r="I256" s="106"/>
      <c r="J256" s="48"/>
      <c r="K256" s="46"/>
      <c r="L256" s="106"/>
      <c r="M256" s="48"/>
      <c r="N256" s="46"/>
      <c r="O256" s="106"/>
      <c r="P256" s="48"/>
      <c r="Q256" s="46"/>
      <c r="R256" s="106"/>
      <c r="S256" s="107"/>
      <c r="T256" s="46"/>
      <c r="U256" s="106"/>
      <c r="V256" s="107"/>
      <c r="W256" s="46" t="s">
        <v>702</v>
      </c>
      <c r="X256" s="106" t="s">
        <v>2563</v>
      </c>
      <c r="Y256" s="107">
        <v>0.8</v>
      </c>
      <c r="Z256" s="49" t="s">
        <v>703</v>
      </c>
      <c r="AA256" s="50" t="s">
        <v>704</v>
      </c>
      <c r="AB256" s="51">
        <v>1.3</v>
      </c>
    </row>
    <row r="257" spans="1:28" ht="13.5" customHeight="1">
      <c r="A257" s="27"/>
      <c r="B257" s="44"/>
      <c r="C257" s="36"/>
      <c r="D257" s="6"/>
      <c r="E257" s="46" t="s">
        <v>694</v>
      </c>
      <c r="F257" s="47" t="s">
        <v>705</v>
      </c>
      <c r="G257" s="48">
        <v>1.8</v>
      </c>
      <c r="H257" s="46" t="s">
        <v>694</v>
      </c>
      <c r="I257" s="47" t="s">
        <v>705</v>
      </c>
      <c r="J257" s="48">
        <v>1.7</v>
      </c>
      <c r="K257" s="46" t="s">
        <v>694</v>
      </c>
      <c r="L257" s="47" t="s">
        <v>705</v>
      </c>
      <c r="M257" s="48">
        <v>2.1</v>
      </c>
      <c r="N257" s="46" t="s">
        <v>694</v>
      </c>
      <c r="O257" s="47" t="s">
        <v>705</v>
      </c>
      <c r="P257" s="48">
        <v>2.1</v>
      </c>
      <c r="Q257" s="46" t="s">
        <v>706</v>
      </c>
      <c r="R257" s="47" t="s">
        <v>705</v>
      </c>
      <c r="S257" s="48">
        <v>1</v>
      </c>
      <c r="T257" s="46" t="s">
        <v>706</v>
      </c>
      <c r="U257" s="47" t="s">
        <v>705</v>
      </c>
      <c r="V257" s="48">
        <v>1.3</v>
      </c>
      <c r="W257" s="46" t="s">
        <v>707</v>
      </c>
      <c r="X257" s="47" t="s">
        <v>2564</v>
      </c>
      <c r="Y257" s="48">
        <v>1.1000000000000001</v>
      </c>
      <c r="Z257" s="49" t="s">
        <v>708</v>
      </c>
      <c r="AA257" s="50" t="s">
        <v>705</v>
      </c>
      <c r="AB257" s="51">
        <v>1</v>
      </c>
    </row>
    <row r="258" spans="1:28" ht="13.5" customHeight="1">
      <c r="A258" s="27"/>
      <c r="B258" s="44"/>
      <c r="C258" s="36"/>
      <c r="D258" s="6"/>
      <c r="E258" s="46"/>
      <c r="F258" s="47"/>
      <c r="G258" s="48"/>
      <c r="H258" s="46"/>
      <c r="I258" s="47"/>
      <c r="J258" s="48"/>
      <c r="K258" s="46"/>
      <c r="L258" s="47"/>
      <c r="M258" s="48"/>
      <c r="N258" s="46"/>
      <c r="O258" s="47"/>
      <c r="P258" s="48"/>
      <c r="Q258" s="46"/>
      <c r="R258" s="47"/>
      <c r="S258" s="48"/>
      <c r="T258" s="46"/>
      <c r="U258" s="47"/>
      <c r="V258" s="48"/>
      <c r="W258" s="46"/>
      <c r="X258" s="47"/>
      <c r="Y258" s="48"/>
      <c r="Z258" s="49"/>
      <c r="AA258" s="50"/>
      <c r="AB258" s="51"/>
    </row>
    <row r="259" spans="1:28" ht="13.5" customHeight="1">
      <c r="A259" s="27"/>
      <c r="B259" s="44"/>
      <c r="C259" s="36"/>
      <c r="D259" s="6"/>
      <c r="E259" s="46" t="s">
        <v>722</v>
      </c>
      <c r="F259" s="47" t="s">
        <v>709</v>
      </c>
      <c r="G259" s="48">
        <v>2.4</v>
      </c>
      <c r="H259" s="46" t="s">
        <v>722</v>
      </c>
      <c r="I259" s="47" t="s">
        <v>709</v>
      </c>
      <c r="J259" s="48">
        <v>2.4</v>
      </c>
      <c r="K259" s="46" t="s">
        <v>718</v>
      </c>
      <c r="L259" s="47" t="s">
        <v>709</v>
      </c>
      <c r="M259" s="48">
        <v>3.2</v>
      </c>
      <c r="N259" s="46" t="s">
        <v>718</v>
      </c>
      <c r="O259" s="47" t="s">
        <v>709</v>
      </c>
      <c r="P259" s="48">
        <v>3.1</v>
      </c>
      <c r="Q259" s="46" t="s">
        <v>710</v>
      </c>
      <c r="R259" s="47" t="s">
        <v>709</v>
      </c>
      <c r="S259" s="48">
        <v>3.2</v>
      </c>
      <c r="T259" s="46" t="s">
        <v>710</v>
      </c>
      <c r="U259" s="47" t="s">
        <v>709</v>
      </c>
      <c r="V259" s="48">
        <v>2.2000000000000002</v>
      </c>
      <c r="W259" s="46" t="s">
        <v>711</v>
      </c>
      <c r="X259" s="47" t="s">
        <v>2565</v>
      </c>
      <c r="Y259" s="48">
        <v>4.2</v>
      </c>
      <c r="Z259" s="49" t="s">
        <v>712</v>
      </c>
      <c r="AA259" s="50" t="s">
        <v>713</v>
      </c>
      <c r="AB259" s="51">
        <v>3</v>
      </c>
    </row>
    <row r="260" spans="1:28" ht="13.5" customHeight="1">
      <c r="A260" s="27"/>
      <c r="B260" s="44"/>
      <c r="C260" s="36"/>
      <c r="D260" s="6"/>
      <c r="E260" s="46"/>
      <c r="F260" s="47"/>
      <c r="G260" s="48"/>
      <c r="H260" s="46"/>
      <c r="I260" s="47"/>
      <c r="J260" s="48"/>
      <c r="K260" s="46"/>
      <c r="L260" s="47"/>
      <c r="M260" s="48"/>
      <c r="N260" s="46"/>
      <c r="O260" s="47"/>
      <c r="P260" s="48"/>
      <c r="Q260" s="46"/>
      <c r="R260" s="47"/>
      <c r="S260" s="48"/>
      <c r="T260" s="46"/>
      <c r="U260" s="47"/>
      <c r="V260" s="48"/>
      <c r="W260" s="46" t="s">
        <v>714</v>
      </c>
      <c r="X260" s="47" t="s">
        <v>2566</v>
      </c>
      <c r="Y260" s="48">
        <v>1.2</v>
      </c>
      <c r="Z260" s="49" t="s">
        <v>715</v>
      </c>
      <c r="AA260" s="50" t="s">
        <v>716</v>
      </c>
      <c r="AB260" s="51">
        <v>0.6</v>
      </c>
    </row>
    <row r="261" spans="1:28" ht="13.5" customHeight="1">
      <c r="A261" s="27"/>
      <c r="B261" s="44"/>
      <c r="C261" s="36"/>
      <c r="D261" s="6"/>
      <c r="E261" s="46"/>
      <c r="F261" s="47"/>
      <c r="G261" s="48"/>
      <c r="H261" s="46"/>
      <c r="I261" s="47"/>
      <c r="J261" s="48"/>
      <c r="K261" s="46" t="s">
        <v>722</v>
      </c>
      <c r="L261" s="47" t="s">
        <v>717</v>
      </c>
      <c r="M261" s="48">
        <v>0.4</v>
      </c>
      <c r="N261" s="46" t="s">
        <v>722</v>
      </c>
      <c r="O261" s="47" t="s">
        <v>717</v>
      </c>
      <c r="P261" s="48">
        <v>0.5</v>
      </c>
      <c r="Q261" s="46" t="s">
        <v>718</v>
      </c>
      <c r="R261" s="47" t="s">
        <v>717</v>
      </c>
      <c r="S261" s="48">
        <v>0.8</v>
      </c>
      <c r="T261" s="46" t="s">
        <v>718</v>
      </c>
      <c r="U261" s="47" t="s">
        <v>717</v>
      </c>
      <c r="V261" s="48">
        <v>0.7</v>
      </c>
      <c r="W261" s="46" t="s">
        <v>719</v>
      </c>
      <c r="X261" s="47" t="s">
        <v>2567</v>
      </c>
      <c r="Y261" s="48">
        <v>0.8</v>
      </c>
      <c r="Z261" s="49" t="s">
        <v>720</v>
      </c>
      <c r="AA261" s="50" t="s">
        <v>717</v>
      </c>
      <c r="AB261" s="51">
        <v>0.6</v>
      </c>
    </row>
    <row r="262" spans="1:28" ht="13.5" customHeight="1">
      <c r="A262" s="27"/>
      <c r="B262" s="44"/>
      <c r="C262" s="36"/>
      <c r="D262" s="6"/>
      <c r="E262" s="46"/>
      <c r="F262" s="47"/>
      <c r="G262" s="48"/>
      <c r="H262" s="46"/>
      <c r="I262" s="47"/>
      <c r="J262" s="48"/>
      <c r="K262" s="46"/>
      <c r="L262" s="47"/>
      <c r="M262" s="48"/>
      <c r="N262" s="46"/>
      <c r="O262" s="47"/>
      <c r="P262" s="48"/>
      <c r="Q262" s="46"/>
      <c r="R262" s="47"/>
      <c r="S262" s="48"/>
      <c r="T262" s="46"/>
      <c r="U262" s="47"/>
      <c r="V262" s="48"/>
      <c r="W262" s="46"/>
      <c r="X262" s="47"/>
      <c r="Y262" s="48"/>
      <c r="Z262" s="49"/>
      <c r="AA262" s="50"/>
      <c r="AB262" s="51"/>
    </row>
    <row r="263" spans="1:28" ht="13.5" customHeight="1">
      <c r="A263" s="27"/>
      <c r="B263" s="44"/>
      <c r="C263" s="36"/>
      <c r="D263" s="6"/>
      <c r="E263" s="46" t="s">
        <v>706</v>
      </c>
      <c r="F263" s="47" t="s">
        <v>721</v>
      </c>
      <c r="G263" s="48">
        <v>1.5</v>
      </c>
      <c r="H263" s="46" t="s">
        <v>706</v>
      </c>
      <c r="I263" s="47" t="s">
        <v>721</v>
      </c>
      <c r="J263" s="48">
        <v>1.6</v>
      </c>
      <c r="K263" s="46" t="s">
        <v>706</v>
      </c>
      <c r="L263" s="47" t="s">
        <v>721</v>
      </c>
      <c r="M263" s="48">
        <v>2.1</v>
      </c>
      <c r="N263" s="46" t="s">
        <v>706</v>
      </c>
      <c r="O263" s="47" t="s">
        <v>721</v>
      </c>
      <c r="P263" s="48">
        <v>2.1</v>
      </c>
      <c r="Q263" s="46" t="s">
        <v>722</v>
      </c>
      <c r="R263" s="47" t="s">
        <v>721</v>
      </c>
      <c r="S263" s="48">
        <v>0.6</v>
      </c>
      <c r="T263" s="46" t="s">
        <v>722</v>
      </c>
      <c r="U263" s="47" t="s">
        <v>721</v>
      </c>
      <c r="V263" s="48">
        <v>0.6</v>
      </c>
      <c r="W263" s="46" t="s">
        <v>723</v>
      </c>
      <c r="X263" s="47" t="s">
        <v>2568</v>
      </c>
      <c r="Y263" s="48">
        <v>0.3</v>
      </c>
      <c r="Z263" s="49" t="s">
        <v>724</v>
      </c>
      <c r="AA263" s="50" t="s">
        <v>725</v>
      </c>
      <c r="AB263" s="51">
        <v>0.3</v>
      </c>
    </row>
    <row r="264" spans="1:28" ht="13.5" customHeight="1">
      <c r="A264" s="27"/>
      <c r="B264" s="44"/>
      <c r="C264" s="36"/>
      <c r="D264" s="6"/>
      <c r="E264" s="46"/>
      <c r="F264" s="47"/>
      <c r="G264" s="48"/>
      <c r="H264" s="46"/>
      <c r="I264" s="47"/>
      <c r="J264" s="48"/>
      <c r="K264" s="46"/>
      <c r="L264" s="47"/>
      <c r="M264" s="48"/>
      <c r="N264" s="46"/>
      <c r="O264" s="47"/>
      <c r="P264" s="48"/>
      <c r="Q264" s="46"/>
      <c r="R264" s="47"/>
      <c r="S264" s="48"/>
      <c r="T264" s="46"/>
      <c r="U264" s="47"/>
      <c r="V264" s="48"/>
      <c r="W264" s="46"/>
      <c r="X264" s="47"/>
      <c r="Y264" s="48"/>
      <c r="Z264" s="49"/>
      <c r="AA264" s="50"/>
      <c r="AB264" s="51"/>
    </row>
    <row r="265" spans="1:28" ht="13.5" customHeight="1">
      <c r="A265" s="27"/>
      <c r="B265" s="44"/>
      <c r="C265" s="36"/>
      <c r="D265" s="6"/>
      <c r="E265" s="46"/>
      <c r="F265" s="47"/>
      <c r="G265" s="48"/>
      <c r="H265" s="46"/>
      <c r="I265" s="47"/>
      <c r="J265" s="48"/>
      <c r="K265" s="46"/>
      <c r="L265" s="47"/>
      <c r="M265" s="48"/>
      <c r="N265" s="46"/>
      <c r="O265" s="47"/>
      <c r="P265" s="48"/>
      <c r="Q265" s="46"/>
      <c r="R265" s="47"/>
      <c r="S265" s="48"/>
      <c r="T265" s="46"/>
      <c r="U265" s="47"/>
      <c r="V265" s="48"/>
      <c r="W265" s="46" t="s">
        <v>726</v>
      </c>
      <c r="X265" s="47" t="s">
        <v>2569</v>
      </c>
      <c r="Y265" s="48">
        <v>0.2</v>
      </c>
      <c r="Z265" s="49" t="s">
        <v>727</v>
      </c>
      <c r="AA265" s="50" t="s">
        <v>728</v>
      </c>
      <c r="AB265" s="51">
        <v>0.7</v>
      </c>
    </row>
    <row r="266" spans="1:28" ht="13.5" customHeight="1">
      <c r="A266" s="27"/>
      <c r="B266" s="44"/>
      <c r="C266" s="36"/>
      <c r="D266" s="6"/>
      <c r="E266" s="46" t="s">
        <v>718</v>
      </c>
      <c r="F266" s="47" t="s">
        <v>728</v>
      </c>
      <c r="G266" s="48">
        <v>1.8</v>
      </c>
      <c r="H266" s="46" t="s">
        <v>718</v>
      </c>
      <c r="I266" s="47" t="s">
        <v>728</v>
      </c>
      <c r="J266" s="48">
        <v>1.9</v>
      </c>
      <c r="K266" s="46" t="s">
        <v>710</v>
      </c>
      <c r="L266" s="47" t="s">
        <v>728</v>
      </c>
      <c r="M266" s="48">
        <v>2</v>
      </c>
      <c r="N266" s="46" t="s">
        <v>710</v>
      </c>
      <c r="O266" s="47" t="s">
        <v>728</v>
      </c>
      <c r="P266" s="48">
        <v>2.2000000000000002</v>
      </c>
      <c r="Q266" s="46" t="s">
        <v>729</v>
      </c>
      <c r="R266" s="47" t="s">
        <v>728</v>
      </c>
      <c r="S266" s="48">
        <v>2</v>
      </c>
      <c r="T266" s="46" t="s">
        <v>729</v>
      </c>
      <c r="U266" s="47" t="s">
        <v>728</v>
      </c>
      <c r="V266" s="48">
        <v>2</v>
      </c>
      <c r="W266" s="46" t="s">
        <v>730</v>
      </c>
      <c r="X266" s="47" t="s">
        <v>2570</v>
      </c>
      <c r="Y266" s="48">
        <v>0.8</v>
      </c>
      <c r="Z266" s="49" t="s">
        <v>731</v>
      </c>
      <c r="AA266" s="50" t="s">
        <v>732</v>
      </c>
      <c r="AB266" s="51">
        <v>0.7</v>
      </c>
    </row>
    <row r="267" spans="1:28" ht="13.5" customHeight="1">
      <c r="A267" s="27"/>
      <c r="B267" s="44"/>
      <c r="C267" s="36"/>
      <c r="D267" s="6"/>
      <c r="E267" s="46"/>
      <c r="F267" s="47"/>
      <c r="G267" s="48"/>
      <c r="H267" s="46"/>
      <c r="I267" s="47"/>
      <c r="J267" s="48"/>
      <c r="K267" s="46"/>
      <c r="L267" s="47"/>
      <c r="M267" s="48"/>
      <c r="N267" s="46"/>
      <c r="O267" s="47"/>
      <c r="P267" s="48"/>
      <c r="Q267" s="46"/>
      <c r="R267" s="47"/>
      <c r="S267" s="48"/>
      <c r="T267" s="46"/>
      <c r="U267" s="47"/>
      <c r="V267" s="48"/>
      <c r="W267" s="46" t="s">
        <v>733</v>
      </c>
      <c r="X267" s="47" t="s">
        <v>2571</v>
      </c>
      <c r="Y267" s="48">
        <v>1.1000000000000001</v>
      </c>
      <c r="Z267" s="49" t="s">
        <v>734</v>
      </c>
      <c r="AA267" s="50" t="s">
        <v>735</v>
      </c>
      <c r="AB267" s="51">
        <v>0.7</v>
      </c>
    </row>
    <row r="268" spans="1:28" ht="13.5" customHeight="1">
      <c r="A268" s="27"/>
      <c r="B268" s="44"/>
      <c r="C268" s="28" t="s">
        <v>736</v>
      </c>
      <c r="D268" s="108" t="s">
        <v>737</v>
      </c>
      <c r="E268" s="37" t="s">
        <v>738</v>
      </c>
      <c r="F268" s="71"/>
      <c r="G268" s="39">
        <f>SUM(G269:G276)</f>
        <v>12.899999999999999</v>
      </c>
      <c r="H268" s="37" t="s">
        <v>738</v>
      </c>
      <c r="I268" s="71"/>
      <c r="J268" s="39">
        <f>SUM(J269:J276)</f>
        <v>12.5</v>
      </c>
      <c r="K268" s="37" t="s">
        <v>738</v>
      </c>
      <c r="L268" s="71"/>
      <c r="M268" s="39">
        <f>SUM(M269:M276)</f>
        <v>16.100000000000001</v>
      </c>
      <c r="N268" s="37" t="s">
        <v>738</v>
      </c>
      <c r="O268" s="71"/>
      <c r="P268" s="39">
        <f>SUM(P269:P276)</f>
        <v>16.099999999999998</v>
      </c>
      <c r="Q268" s="37" t="s">
        <v>738</v>
      </c>
      <c r="R268" s="71"/>
      <c r="S268" s="39">
        <f>SUM(S269:S276)</f>
        <v>17.900000000000002</v>
      </c>
      <c r="T268" s="37" t="s">
        <v>738</v>
      </c>
      <c r="U268" s="71"/>
      <c r="V268" s="39">
        <f>SUM(V269:V276)</f>
        <v>15.1</v>
      </c>
      <c r="W268" s="72"/>
      <c r="X268" s="71"/>
      <c r="Y268" s="39">
        <f>SUM(Y269:Y276)</f>
        <v>13.8</v>
      </c>
      <c r="Z268" s="73"/>
      <c r="AA268" s="74"/>
      <c r="AB268" s="39">
        <f>SUM(AB269:AB276)</f>
        <v>12.399999999999999</v>
      </c>
    </row>
    <row r="269" spans="1:28" ht="13.5" customHeight="1">
      <c r="A269" s="104"/>
      <c r="B269" s="105"/>
      <c r="C269" s="44"/>
      <c r="D269" s="6"/>
      <c r="E269" s="46" t="s">
        <v>740</v>
      </c>
      <c r="F269" s="47" t="s">
        <v>739</v>
      </c>
      <c r="G269" s="48">
        <v>3.3</v>
      </c>
      <c r="H269" s="46" t="s">
        <v>740</v>
      </c>
      <c r="I269" s="47" t="s">
        <v>739</v>
      </c>
      <c r="J269" s="48">
        <v>3.8</v>
      </c>
      <c r="K269" s="46" t="s">
        <v>740</v>
      </c>
      <c r="L269" s="47" t="s">
        <v>739</v>
      </c>
      <c r="M269" s="48">
        <v>6.7</v>
      </c>
      <c r="N269" s="46" t="s">
        <v>740</v>
      </c>
      <c r="O269" s="47" t="s">
        <v>739</v>
      </c>
      <c r="P269" s="48">
        <v>6.6</v>
      </c>
      <c r="Q269" s="46" t="s">
        <v>740</v>
      </c>
      <c r="R269" s="47" t="s">
        <v>739</v>
      </c>
      <c r="S269" s="48">
        <v>5.5</v>
      </c>
      <c r="T269" s="46" t="s">
        <v>740</v>
      </c>
      <c r="U269" s="47" t="s">
        <v>739</v>
      </c>
      <c r="V269" s="48">
        <v>3.6</v>
      </c>
      <c r="W269" s="46" t="s">
        <v>741</v>
      </c>
      <c r="X269" s="47" t="s">
        <v>2572</v>
      </c>
      <c r="Y269" s="48">
        <v>2.9</v>
      </c>
      <c r="Z269" s="49" t="s">
        <v>742</v>
      </c>
      <c r="AA269" s="50" t="s">
        <v>743</v>
      </c>
      <c r="AB269" s="51">
        <v>3.5</v>
      </c>
    </row>
    <row r="270" spans="1:28" ht="13.5" customHeight="1">
      <c r="A270" s="104"/>
      <c r="B270" s="105"/>
      <c r="C270" s="44"/>
      <c r="D270" s="6"/>
      <c r="E270" s="46" t="s">
        <v>745</v>
      </c>
      <c r="F270" s="47" t="s">
        <v>744</v>
      </c>
      <c r="G270" s="48">
        <v>1.6</v>
      </c>
      <c r="H270" s="46" t="s">
        <v>745</v>
      </c>
      <c r="I270" s="47" t="s">
        <v>744</v>
      </c>
      <c r="J270" s="48">
        <v>1.6</v>
      </c>
      <c r="K270" s="46" t="s">
        <v>745</v>
      </c>
      <c r="L270" s="47" t="s">
        <v>744</v>
      </c>
      <c r="M270" s="48">
        <v>1.8</v>
      </c>
      <c r="N270" s="46" t="s">
        <v>745</v>
      </c>
      <c r="O270" s="47" t="s">
        <v>744</v>
      </c>
      <c r="P270" s="48">
        <v>1.7</v>
      </c>
      <c r="Q270" s="46" t="s">
        <v>745</v>
      </c>
      <c r="R270" s="47" t="s">
        <v>744</v>
      </c>
      <c r="S270" s="48">
        <v>1.6</v>
      </c>
      <c r="T270" s="46" t="s">
        <v>745</v>
      </c>
      <c r="U270" s="47" t="s">
        <v>744</v>
      </c>
      <c r="V270" s="48">
        <v>1.5</v>
      </c>
      <c r="W270" s="46" t="s">
        <v>746</v>
      </c>
      <c r="X270" s="47" t="s">
        <v>2573</v>
      </c>
      <c r="Y270" s="48">
        <v>1.2</v>
      </c>
      <c r="Z270" s="49" t="s">
        <v>747</v>
      </c>
      <c r="AA270" s="50" t="s">
        <v>744</v>
      </c>
      <c r="AB270" s="51">
        <v>0.6</v>
      </c>
    </row>
    <row r="271" spans="1:28" ht="13.5" customHeight="1">
      <c r="A271" s="104"/>
      <c r="B271" s="105"/>
      <c r="C271" s="44"/>
      <c r="D271" s="6"/>
      <c r="E271" s="46" t="s">
        <v>749</v>
      </c>
      <c r="F271" s="47" t="s">
        <v>748</v>
      </c>
      <c r="G271" s="48">
        <v>4.5999999999999996</v>
      </c>
      <c r="H271" s="46" t="s">
        <v>749</v>
      </c>
      <c r="I271" s="47" t="s">
        <v>748</v>
      </c>
      <c r="J271" s="48">
        <v>3.9</v>
      </c>
      <c r="K271" s="46" t="s">
        <v>749</v>
      </c>
      <c r="L271" s="47" t="s">
        <v>748</v>
      </c>
      <c r="M271" s="48">
        <v>3.4</v>
      </c>
      <c r="N271" s="46" t="s">
        <v>749</v>
      </c>
      <c r="O271" s="47" t="s">
        <v>748</v>
      </c>
      <c r="P271" s="48">
        <v>3.3</v>
      </c>
      <c r="Q271" s="46" t="s">
        <v>749</v>
      </c>
      <c r="R271" s="47" t="s">
        <v>748</v>
      </c>
      <c r="S271" s="48">
        <v>5.7</v>
      </c>
      <c r="T271" s="46" t="s">
        <v>749</v>
      </c>
      <c r="U271" s="47" t="s">
        <v>748</v>
      </c>
      <c r="V271" s="48">
        <v>5.6</v>
      </c>
      <c r="W271" s="46" t="s">
        <v>750</v>
      </c>
      <c r="X271" s="47" t="s">
        <v>2574</v>
      </c>
      <c r="Y271" s="48">
        <v>6</v>
      </c>
      <c r="Z271" s="49" t="s">
        <v>751</v>
      </c>
      <c r="AA271" s="50" t="s">
        <v>752</v>
      </c>
      <c r="AB271" s="51">
        <v>5.4</v>
      </c>
    </row>
    <row r="272" spans="1:28" ht="13.5" customHeight="1">
      <c r="A272" s="104"/>
      <c r="B272" s="105"/>
      <c r="C272" s="44"/>
      <c r="D272" s="6"/>
      <c r="E272" s="46"/>
      <c r="F272" s="47"/>
      <c r="G272" s="48"/>
      <c r="H272" s="46"/>
      <c r="I272" s="47"/>
      <c r="J272" s="48"/>
      <c r="K272" s="46"/>
      <c r="L272" s="47"/>
      <c r="M272" s="48"/>
      <c r="N272" s="46"/>
      <c r="O272" s="47"/>
      <c r="P272" s="48"/>
      <c r="Q272" s="46"/>
      <c r="R272" s="47"/>
      <c r="S272" s="48"/>
      <c r="T272" s="46"/>
      <c r="U272" s="47"/>
      <c r="V272" s="48"/>
      <c r="W272" s="46"/>
      <c r="X272" s="47"/>
      <c r="Y272" s="48"/>
      <c r="Z272" s="49"/>
      <c r="AA272" s="50"/>
      <c r="AB272" s="51"/>
    </row>
    <row r="273" spans="1:28" ht="13.5" customHeight="1">
      <c r="A273" s="104"/>
      <c r="B273" s="105"/>
      <c r="C273" s="44"/>
      <c r="D273" s="6"/>
      <c r="E273" s="46" t="s">
        <v>754</v>
      </c>
      <c r="F273" s="47" t="s">
        <v>753</v>
      </c>
      <c r="G273" s="48">
        <v>0.6</v>
      </c>
      <c r="H273" s="46" t="s">
        <v>754</v>
      </c>
      <c r="I273" s="47" t="s">
        <v>753</v>
      </c>
      <c r="J273" s="48">
        <v>0.7</v>
      </c>
      <c r="K273" s="46" t="s">
        <v>754</v>
      </c>
      <c r="L273" s="47" t="s">
        <v>753</v>
      </c>
      <c r="M273" s="48">
        <v>0.9</v>
      </c>
      <c r="N273" s="46" t="s">
        <v>754</v>
      </c>
      <c r="O273" s="47" t="s">
        <v>753</v>
      </c>
      <c r="P273" s="48">
        <v>0.9</v>
      </c>
      <c r="Q273" s="46" t="s">
        <v>754</v>
      </c>
      <c r="R273" s="47" t="s">
        <v>753</v>
      </c>
      <c r="S273" s="48">
        <v>1.4</v>
      </c>
      <c r="T273" s="46" t="s">
        <v>754</v>
      </c>
      <c r="U273" s="47" t="s">
        <v>753</v>
      </c>
      <c r="V273" s="48">
        <v>1.3</v>
      </c>
      <c r="W273" s="46" t="s">
        <v>755</v>
      </c>
      <c r="X273" s="47" t="s">
        <v>2575</v>
      </c>
      <c r="Y273" s="48">
        <v>0.3</v>
      </c>
      <c r="Z273" s="49" t="s">
        <v>756</v>
      </c>
      <c r="AA273" s="50" t="s">
        <v>757</v>
      </c>
      <c r="AB273" s="51">
        <v>0.6</v>
      </c>
    </row>
    <row r="274" spans="1:28" ht="13.5" customHeight="1">
      <c r="A274" s="27"/>
      <c r="B274" s="44"/>
      <c r="C274" s="36"/>
      <c r="D274" s="6"/>
      <c r="E274" s="46"/>
      <c r="F274" s="47"/>
      <c r="G274" s="48"/>
      <c r="H274" s="46"/>
      <c r="I274" s="47"/>
      <c r="J274" s="48"/>
      <c r="K274" s="46"/>
      <c r="L274" s="47"/>
      <c r="M274" s="48"/>
      <c r="N274" s="46"/>
      <c r="O274" s="47"/>
      <c r="P274" s="48"/>
      <c r="Q274" s="46"/>
      <c r="R274" s="47"/>
      <c r="S274" s="48"/>
      <c r="T274" s="46"/>
      <c r="U274" s="47"/>
      <c r="V274" s="48"/>
      <c r="W274" s="46" t="s">
        <v>758</v>
      </c>
      <c r="X274" s="47" t="s">
        <v>2576</v>
      </c>
      <c r="Y274" s="48">
        <v>0.9</v>
      </c>
      <c r="Z274" s="49" t="s">
        <v>759</v>
      </c>
      <c r="AA274" s="50" t="s">
        <v>760</v>
      </c>
      <c r="AB274" s="51">
        <v>0.6</v>
      </c>
    </row>
    <row r="275" spans="1:28" ht="13.5" customHeight="1">
      <c r="A275" s="104"/>
      <c r="B275" s="105"/>
      <c r="C275" s="44"/>
      <c r="D275" s="6"/>
      <c r="E275" s="46" t="s">
        <v>762</v>
      </c>
      <c r="F275" s="47" t="s">
        <v>761</v>
      </c>
      <c r="G275" s="48">
        <v>2.2999999999999998</v>
      </c>
      <c r="H275" s="46" t="s">
        <v>762</v>
      </c>
      <c r="I275" s="47" t="s">
        <v>761</v>
      </c>
      <c r="J275" s="48">
        <v>2</v>
      </c>
      <c r="K275" s="46" t="s">
        <v>762</v>
      </c>
      <c r="L275" s="47" t="s">
        <v>761</v>
      </c>
      <c r="M275" s="48">
        <v>2.2999999999999998</v>
      </c>
      <c r="N275" s="46" t="s">
        <v>762</v>
      </c>
      <c r="O275" s="47" t="s">
        <v>761</v>
      </c>
      <c r="P275" s="48">
        <v>2</v>
      </c>
      <c r="Q275" s="46" t="s">
        <v>762</v>
      </c>
      <c r="R275" s="47" t="s">
        <v>761</v>
      </c>
      <c r="S275" s="48">
        <v>3.4</v>
      </c>
      <c r="T275" s="46" t="s">
        <v>762</v>
      </c>
      <c r="U275" s="47" t="s">
        <v>761</v>
      </c>
      <c r="V275" s="48">
        <v>2.9</v>
      </c>
      <c r="W275" s="46" t="s">
        <v>763</v>
      </c>
      <c r="X275" s="47" t="s">
        <v>2577</v>
      </c>
      <c r="Y275" s="48">
        <v>2.5</v>
      </c>
      <c r="Z275" s="49" t="s">
        <v>764</v>
      </c>
      <c r="AA275" s="50" t="s">
        <v>761</v>
      </c>
      <c r="AB275" s="51">
        <v>1.7</v>
      </c>
    </row>
    <row r="276" spans="1:28" ht="13.5" customHeight="1">
      <c r="A276" s="104"/>
      <c r="B276" s="105"/>
      <c r="C276" s="44"/>
      <c r="D276" s="6"/>
      <c r="E276" s="46" t="s">
        <v>766</v>
      </c>
      <c r="F276" s="47" t="s">
        <v>765</v>
      </c>
      <c r="G276" s="48">
        <v>0.5</v>
      </c>
      <c r="H276" s="46" t="s">
        <v>766</v>
      </c>
      <c r="I276" s="47" t="s">
        <v>765</v>
      </c>
      <c r="J276" s="48">
        <v>0.5</v>
      </c>
      <c r="K276" s="46" t="s">
        <v>766</v>
      </c>
      <c r="L276" s="47" t="s">
        <v>765</v>
      </c>
      <c r="M276" s="48">
        <v>1</v>
      </c>
      <c r="N276" s="46" t="s">
        <v>766</v>
      </c>
      <c r="O276" s="47" t="s">
        <v>765</v>
      </c>
      <c r="P276" s="48">
        <v>1.6</v>
      </c>
      <c r="Q276" s="46" t="s">
        <v>766</v>
      </c>
      <c r="R276" s="47" t="s">
        <v>765</v>
      </c>
      <c r="S276" s="70">
        <v>0.3</v>
      </c>
      <c r="T276" s="46" t="s">
        <v>766</v>
      </c>
      <c r="U276" s="47" t="s">
        <v>765</v>
      </c>
      <c r="V276" s="70">
        <v>0.2</v>
      </c>
      <c r="W276" s="109"/>
      <c r="X276" s="68"/>
      <c r="Y276" s="70"/>
      <c r="Z276" s="110"/>
      <c r="AA276" s="111"/>
      <c r="AB276" s="112"/>
    </row>
    <row r="277" spans="1:28" ht="13.5" customHeight="1">
      <c r="A277" s="27"/>
      <c r="B277" s="44"/>
      <c r="C277" s="28" t="s">
        <v>767</v>
      </c>
      <c r="D277" s="108" t="s">
        <v>768</v>
      </c>
      <c r="E277" s="37" t="s">
        <v>769</v>
      </c>
      <c r="F277" s="71"/>
      <c r="G277" s="39">
        <f>SUM(G278:G282)</f>
        <v>4.5999999999999996</v>
      </c>
      <c r="H277" s="37" t="s">
        <v>769</v>
      </c>
      <c r="I277" s="71"/>
      <c r="J277" s="39">
        <f>SUM(J278:J282)</f>
        <v>4.5</v>
      </c>
      <c r="K277" s="37" t="s">
        <v>769</v>
      </c>
      <c r="L277" s="71"/>
      <c r="M277" s="39">
        <f>SUM(M278:M282)</f>
        <v>5.1999999999999993</v>
      </c>
      <c r="N277" s="37" t="s">
        <v>769</v>
      </c>
      <c r="O277" s="71"/>
      <c r="P277" s="39">
        <f>SUM(P278:P282)</f>
        <v>6</v>
      </c>
      <c r="Q277" s="37" t="s">
        <v>769</v>
      </c>
      <c r="R277" s="71"/>
      <c r="S277" s="39">
        <f>SUM(S278:S282)</f>
        <v>6</v>
      </c>
      <c r="T277" s="37" t="s">
        <v>769</v>
      </c>
      <c r="U277" s="71"/>
      <c r="V277" s="39">
        <f>SUM(V278:V282)</f>
        <v>5.6</v>
      </c>
      <c r="W277" s="72"/>
      <c r="X277" s="71"/>
      <c r="Y277" s="39">
        <f>SUM(Y278:Y282)</f>
        <v>4.3</v>
      </c>
      <c r="Z277" s="73"/>
      <c r="AA277" s="74"/>
      <c r="AB277" s="39">
        <f>SUM(AB278:AB282)</f>
        <v>4.7</v>
      </c>
    </row>
    <row r="278" spans="1:28" ht="13.5" customHeight="1">
      <c r="A278" s="27"/>
      <c r="B278" s="44"/>
      <c r="C278" s="44"/>
      <c r="D278" s="45"/>
      <c r="E278" s="46"/>
      <c r="F278" s="47"/>
      <c r="G278" s="48"/>
      <c r="H278" s="46"/>
      <c r="I278" s="47"/>
      <c r="J278" s="48"/>
      <c r="K278" s="46" t="s">
        <v>771</v>
      </c>
      <c r="L278" s="47" t="s">
        <v>770</v>
      </c>
      <c r="M278" s="48">
        <v>4.0999999999999996</v>
      </c>
      <c r="N278" s="46" t="s">
        <v>771</v>
      </c>
      <c r="O278" s="47" t="s">
        <v>770</v>
      </c>
      <c r="P278" s="48">
        <v>4.5</v>
      </c>
      <c r="Q278" s="46" t="s">
        <v>771</v>
      </c>
      <c r="R278" s="47" t="s">
        <v>770</v>
      </c>
      <c r="S278" s="48">
        <v>4.5</v>
      </c>
      <c r="T278" s="46" t="s">
        <v>771</v>
      </c>
      <c r="U278" s="47" t="s">
        <v>770</v>
      </c>
      <c r="V278" s="48">
        <v>4.2</v>
      </c>
      <c r="W278" s="46" t="s">
        <v>772</v>
      </c>
      <c r="X278" s="47" t="s">
        <v>2578</v>
      </c>
      <c r="Y278" s="48">
        <v>3.6</v>
      </c>
      <c r="Z278" s="49" t="s">
        <v>773</v>
      </c>
      <c r="AA278" s="50" t="s">
        <v>770</v>
      </c>
      <c r="AB278" s="51">
        <v>2.9</v>
      </c>
    </row>
    <row r="279" spans="1:28" ht="13.5" customHeight="1">
      <c r="A279" s="27"/>
      <c r="B279" s="44"/>
      <c r="C279" s="44"/>
      <c r="D279" s="45"/>
      <c r="E279" s="46"/>
      <c r="F279" s="47"/>
      <c r="G279" s="48"/>
      <c r="H279" s="46"/>
      <c r="I279" s="47"/>
      <c r="J279" s="48"/>
      <c r="K279" s="46"/>
      <c r="L279" s="47"/>
      <c r="M279" s="48"/>
      <c r="N279" s="46"/>
      <c r="O279" s="47"/>
      <c r="P279" s="48"/>
      <c r="Q279" s="46"/>
      <c r="R279" s="47"/>
      <c r="S279" s="48"/>
      <c r="T279" s="46"/>
      <c r="U279" s="47"/>
      <c r="V279" s="48"/>
      <c r="W279" s="46"/>
      <c r="X279" s="47"/>
      <c r="Y279" s="48"/>
      <c r="Z279" s="49"/>
      <c r="AA279" s="50"/>
      <c r="AB279" s="51"/>
    </row>
    <row r="280" spans="1:28" ht="13.5" customHeight="1">
      <c r="A280" s="27"/>
      <c r="B280" s="44"/>
      <c r="C280" s="44"/>
      <c r="D280" s="45"/>
      <c r="E280" s="46"/>
      <c r="F280" s="47"/>
      <c r="G280" s="48"/>
      <c r="H280" s="46"/>
      <c r="I280" s="47"/>
      <c r="J280" s="48"/>
      <c r="K280" s="46" t="s">
        <v>775</v>
      </c>
      <c r="L280" s="47" t="s">
        <v>774</v>
      </c>
      <c r="M280" s="48">
        <v>1.1000000000000001</v>
      </c>
      <c r="N280" s="46" t="s">
        <v>775</v>
      </c>
      <c r="O280" s="47" t="s">
        <v>774</v>
      </c>
      <c r="P280" s="48">
        <v>1.5</v>
      </c>
      <c r="Q280" s="46" t="s">
        <v>775</v>
      </c>
      <c r="R280" s="47" t="s">
        <v>774</v>
      </c>
      <c r="S280" s="48">
        <v>1.5</v>
      </c>
      <c r="T280" s="46" t="s">
        <v>775</v>
      </c>
      <c r="U280" s="47" t="s">
        <v>774</v>
      </c>
      <c r="V280" s="48">
        <v>1.4</v>
      </c>
      <c r="W280" s="46" t="s">
        <v>776</v>
      </c>
      <c r="X280" s="47" t="s">
        <v>2579</v>
      </c>
      <c r="Y280" s="48">
        <v>0.7</v>
      </c>
      <c r="Z280" s="49" t="s">
        <v>777</v>
      </c>
      <c r="AA280" s="50" t="s">
        <v>774</v>
      </c>
      <c r="AB280" s="51">
        <v>1.8</v>
      </c>
    </row>
    <row r="281" spans="1:28" ht="13.5" customHeight="1">
      <c r="A281" s="27"/>
      <c r="B281" s="44"/>
      <c r="C281" s="44"/>
      <c r="D281" s="45"/>
      <c r="E281" s="46"/>
      <c r="F281" s="56"/>
      <c r="G281" s="48"/>
      <c r="H281" s="46"/>
      <c r="I281" s="56"/>
      <c r="J281" s="48"/>
      <c r="K281" s="46"/>
      <c r="L281" s="56"/>
      <c r="M281" s="48"/>
      <c r="N281" s="46"/>
      <c r="O281" s="56"/>
      <c r="P281" s="48"/>
      <c r="Q281" s="57"/>
      <c r="R281" s="56"/>
      <c r="S281" s="58"/>
      <c r="T281" s="57"/>
      <c r="U281" s="56"/>
      <c r="V281" s="58"/>
      <c r="W281" s="57"/>
      <c r="X281" s="56"/>
      <c r="Y281" s="58"/>
      <c r="Z281" s="59"/>
      <c r="AA281" s="60"/>
      <c r="AB281" s="61"/>
    </row>
    <row r="282" spans="1:28" ht="13.5" customHeight="1">
      <c r="A282" s="27"/>
      <c r="B282" s="44"/>
      <c r="C282" s="36"/>
      <c r="D282" s="83"/>
      <c r="E282" s="46" t="s">
        <v>771</v>
      </c>
      <c r="F282" s="75" t="s">
        <v>3025</v>
      </c>
      <c r="G282" s="48">
        <v>4.5999999999999996</v>
      </c>
      <c r="H282" s="46" t="s">
        <v>771</v>
      </c>
      <c r="I282" s="75" t="s">
        <v>3025</v>
      </c>
      <c r="J282" s="48">
        <v>4.5</v>
      </c>
      <c r="K282" s="46"/>
      <c r="L282" s="75"/>
      <c r="M282" s="48"/>
      <c r="N282" s="46"/>
      <c r="O282" s="75"/>
      <c r="P282" s="48"/>
      <c r="Q282" s="76"/>
      <c r="R282" s="75"/>
      <c r="S282" s="77"/>
      <c r="T282" s="76"/>
      <c r="U282" s="75"/>
      <c r="V282" s="77"/>
      <c r="W282" s="76"/>
      <c r="X282" s="75"/>
      <c r="Y282" s="77"/>
      <c r="Z282" s="78"/>
      <c r="AA282" s="79"/>
      <c r="AB282" s="80"/>
    </row>
    <row r="283" spans="1:28" ht="13.5" customHeight="1">
      <c r="A283" s="27"/>
      <c r="B283" s="44"/>
      <c r="C283" s="28" t="s">
        <v>778</v>
      </c>
      <c r="D283" s="6" t="s">
        <v>779</v>
      </c>
      <c r="E283" s="37" t="s">
        <v>780</v>
      </c>
      <c r="F283" s="71"/>
      <c r="G283" s="39">
        <f>SUM(G284:G294)</f>
        <v>1.7</v>
      </c>
      <c r="H283" s="37" t="s">
        <v>780</v>
      </c>
      <c r="I283" s="71"/>
      <c r="J283" s="39">
        <f>SUM(J284:J294)</f>
        <v>1.5</v>
      </c>
      <c r="K283" s="37" t="s">
        <v>780</v>
      </c>
      <c r="L283" s="71"/>
      <c r="M283" s="39">
        <f>SUM(M284:M294)</f>
        <v>1.9000000000000001</v>
      </c>
      <c r="N283" s="37" t="s">
        <v>780</v>
      </c>
      <c r="O283" s="71"/>
      <c r="P283" s="39">
        <f>SUM(P284:P294)</f>
        <v>1.8000000000000003</v>
      </c>
      <c r="Q283" s="37" t="s">
        <v>780</v>
      </c>
      <c r="R283" s="71"/>
      <c r="S283" s="39">
        <f>SUM(S284:S294)</f>
        <v>2.1999999999999997</v>
      </c>
      <c r="T283" s="37" t="s">
        <v>780</v>
      </c>
      <c r="U283" s="71"/>
      <c r="V283" s="39">
        <f>SUM(V284:V294)</f>
        <v>2.1</v>
      </c>
      <c r="W283" s="72"/>
      <c r="X283" s="71"/>
      <c r="Y283" s="39">
        <f>SUM(Y284:Y294)</f>
        <v>2.1</v>
      </c>
      <c r="Z283" s="73"/>
      <c r="AA283" s="74"/>
      <c r="AB283" s="39">
        <f>SUM(AB284:AB294)</f>
        <v>2.4</v>
      </c>
    </row>
    <row r="284" spans="1:28" ht="13.5" customHeight="1">
      <c r="A284" s="27"/>
      <c r="B284" s="44"/>
      <c r="C284" s="36"/>
      <c r="D284" s="6"/>
      <c r="E284" s="46"/>
      <c r="F284" s="101"/>
      <c r="G284" s="48"/>
      <c r="H284" s="46"/>
      <c r="I284" s="101"/>
      <c r="J284" s="48"/>
      <c r="K284" s="46"/>
      <c r="L284" s="101"/>
      <c r="M284" s="48"/>
      <c r="N284" s="46"/>
      <c r="O284" s="101"/>
      <c r="P284" s="48"/>
      <c r="Q284" s="102"/>
      <c r="R284" s="101"/>
      <c r="S284" s="103"/>
      <c r="T284" s="102"/>
      <c r="U284" s="101"/>
      <c r="V284" s="103"/>
      <c r="W284" s="102"/>
      <c r="X284" s="101"/>
      <c r="Y284" s="103"/>
      <c r="Z284" s="49"/>
      <c r="AA284" s="50"/>
      <c r="AB284" s="51"/>
    </row>
    <row r="285" spans="1:28" ht="13.5" customHeight="1">
      <c r="A285" s="27"/>
      <c r="B285" s="44"/>
      <c r="C285" s="36"/>
      <c r="D285" s="6"/>
      <c r="E285" s="46"/>
      <c r="F285" s="101"/>
      <c r="G285" s="48"/>
      <c r="H285" s="46"/>
      <c r="I285" s="101"/>
      <c r="J285" s="48"/>
      <c r="K285" s="46"/>
      <c r="L285" s="101"/>
      <c r="M285" s="48"/>
      <c r="N285" s="46"/>
      <c r="O285" s="101"/>
      <c r="P285" s="48"/>
      <c r="Q285" s="102"/>
      <c r="R285" s="101"/>
      <c r="S285" s="103"/>
      <c r="T285" s="102"/>
      <c r="U285" s="101"/>
      <c r="V285" s="103"/>
      <c r="W285" s="102"/>
      <c r="X285" s="101"/>
      <c r="Y285" s="103"/>
      <c r="Z285" s="49"/>
      <c r="AA285" s="50"/>
      <c r="AB285" s="51"/>
    </row>
    <row r="286" spans="1:28" ht="13.5" customHeight="1">
      <c r="A286" s="27"/>
      <c r="B286" s="44"/>
      <c r="C286" s="36"/>
      <c r="D286" s="6"/>
      <c r="E286" s="46"/>
      <c r="F286" s="101"/>
      <c r="G286" s="48"/>
      <c r="H286" s="46"/>
      <c r="I286" s="101"/>
      <c r="J286" s="48"/>
      <c r="K286" s="46"/>
      <c r="L286" s="101"/>
      <c r="M286" s="48"/>
      <c r="N286" s="46"/>
      <c r="O286" s="101"/>
      <c r="P286" s="48"/>
      <c r="Q286" s="102"/>
      <c r="R286" s="101"/>
      <c r="S286" s="103"/>
      <c r="T286" s="102"/>
      <c r="U286" s="101"/>
      <c r="V286" s="103"/>
      <c r="W286" s="102"/>
      <c r="X286" s="101"/>
      <c r="Y286" s="103"/>
      <c r="Z286" s="49"/>
      <c r="AA286" s="50"/>
      <c r="AB286" s="51"/>
    </row>
    <row r="287" spans="1:28" ht="13.5" customHeight="1">
      <c r="A287" s="27"/>
      <c r="B287" s="44"/>
      <c r="C287" s="36"/>
      <c r="D287" s="6"/>
      <c r="E287" s="46" t="s">
        <v>782</v>
      </c>
      <c r="F287" s="47" t="s">
        <v>781</v>
      </c>
      <c r="G287" s="48">
        <v>0.9</v>
      </c>
      <c r="H287" s="46" t="s">
        <v>782</v>
      </c>
      <c r="I287" s="47" t="s">
        <v>781</v>
      </c>
      <c r="J287" s="48">
        <v>0.9</v>
      </c>
      <c r="K287" s="46" t="s">
        <v>782</v>
      </c>
      <c r="L287" s="47" t="s">
        <v>781</v>
      </c>
      <c r="M287" s="48">
        <v>1.1000000000000001</v>
      </c>
      <c r="N287" s="46" t="s">
        <v>782</v>
      </c>
      <c r="O287" s="47" t="s">
        <v>781</v>
      </c>
      <c r="P287" s="48">
        <v>1.1000000000000001</v>
      </c>
      <c r="Q287" s="46" t="s">
        <v>782</v>
      </c>
      <c r="R287" s="47" t="s">
        <v>781</v>
      </c>
      <c r="S287" s="48">
        <v>1.2</v>
      </c>
      <c r="T287" s="46" t="s">
        <v>782</v>
      </c>
      <c r="U287" s="47" t="s">
        <v>781</v>
      </c>
      <c r="V287" s="48">
        <v>1.2</v>
      </c>
      <c r="W287" s="46" t="s">
        <v>783</v>
      </c>
      <c r="X287" s="47" t="s">
        <v>2580</v>
      </c>
      <c r="Y287" s="48">
        <v>0.9</v>
      </c>
      <c r="Z287" s="49" t="s">
        <v>784</v>
      </c>
      <c r="AA287" s="50" t="s">
        <v>785</v>
      </c>
      <c r="AB287" s="51">
        <v>0.7</v>
      </c>
    </row>
    <row r="288" spans="1:28" ht="13.5" customHeight="1">
      <c r="A288" s="27"/>
      <c r="B288" s="44"/>
      <c r="C288" s="44"/>
      <c r="D288" s="45"/>
      <c r="E288" s="46"/>
      <c r="F288" s="47"/>
      <c r="G288" s="48"/>
      <c r="H288" s="46"/>
      <c r="I288" s="47"/>
      <c r="J288" s="48"/>
      <c r="K288" s="46"/>
      <c r="L288" s="47"/>
      <c r="M288" s="48"/>
      <c r="N288" s="46"/>
      <c r="O288" s="47"/>
      <c r="P288" s="48"/>
      <c r="Q288" s="46"/>
      <c r="R288" s="47"/>
      <c r="S288" s="48"/>
      <c r="T288" s="46"/>
      <c r="U288" s="47"/>
      <c r="V288" s="48"/>
      <c r="W288" s="46"/>
      <c r="X288" s="47"/>
      <c r="Y288" s="48"/>
      <c r="Z288" s="49" t="s">
        <v>786</v>
      </c>
      <c r="AA288" s="50" t="s">
        <v>787</v>
      </c>
      <c r="AB288" s="51">
        <v>0.2</v>
      </c>
    </row>
    <row r="289" spans="1:28" ht="13.5" customHeight="1">
      <c r="A289" s="27"/>
      <c r="B289" s="44"/>
      <c r="C289" s="36"/>
      <c r="D289" s="6"/>
      <c r="E289" s="46"/>
      <c r="F289" s="47"/>
      <c r="G289" s="48"/>
      <c r="H289" s="46"/>
      <c r="I289" s="47"/>
      <c r="J289" s="48"/>
      <c r="K289" s="46"/>
      <c r="L289" s="47"/>
      <c r="M289" s="48"/>
      <c r="N289" s="46"/>
      <c r="O289" s="47"/>
      <c r="P289" s="48"/>
      <c r="Q289" s="46"/>
      <c r="R289" s="47"/>
      <c r="S289" s="48"/>
      <c r="T289" s="46"/>
      <c r="U289" s="47"/>
      <c r="V289" s="48"/>
      <c r="W289" s="46"/>
      <c r="X289" s="47"/>
      <c r="Y289" s="48"/>
      <c r="Z289" s="49" t="s">
        <v>788</v>
      </c>
      <c r="AA289" s="50" t="s">
        <v>789</v>
      </c>
      <c r="AB289" s="51">
        <v>0.2</v>
      </c>
    </row>
    <row r="290" spans="1:28" ht="13.5" customHeight="1">
      <c r="A290" s="27"/>
      <c r="B290" s="44"/>
      <c r="C290" s="36"/>
      <c r="D290" s="6"/>
      <c r="E290" s="46"/>
      <c r="F290" s="47"/>
      <c r="G290" s="48"/>
      <c r="H290" s="46"/>
      <c r="I290" s="47"/>
      <c r="J290" s="48"/>
      <c r="K290" s="46"/>
      <c r="L290" s="47"/>
      <c r="M290" s="48"/>
      <c r="N290" s="46"/>
      <c r="O290" s="47"/>
      <c r="P290" s="48"/>
      <c r="Q290" s="46"/>
      <c r="R290" s="47"/>
      <c r="S290" s="48"/>
      <c r="T290" s="46"/>
      <c r="U290" s="47"/>
      <c r="V290" s="48"/>
      <c r="W290" s="46" t="s">
        <v>790</v>
      </c>
      <c r="X290" s="47" t="s">
        <v>2581</v>
      </c>
      <c r="Y290" s="48">
        <v>0.2</v>
      </c>
      <c r="Z290" s="49" t="s">
        <v>791</v>
      </c>
      <c r="AA290" s="50" t="s">
        <v>792</v>
      </c>
      <c r="AB290" s="51">
        <v>0.4</v>
      </c>
    </row>
    <row r="291" spans="1:28" ht="13.5" customHeight="1">
      <c r="A291" s="27"/>
      <c r="B291" s="44"/>
      <c r="C291" s="36"/>
      <c r="D291" s="6"/>
      <c r="E291" s="46" t="s">
        <v>794</v>
      </c>
      <c r="F291" s="47" t="s">
        <v>793</v>
      </c>
      <c r="G291" s="48">
        <v>0.6</v>
      </c>
      <c r="H291" s="46" t="s">
        <v>794</v>
      </c>
      <c r="I291" s="47" t="s">
        <v>793</v>
      </c>
      <c r="J291" s="48">
        <v>0.5</v>
      </c>
      <c r="K291" s="46" t="s">
        <v>794</v>
      </c>
      <c r="L291" s="47" t="s">
        <v>793</v>
      </c>
      <c r="M291" s="48">
        <v>0.5</v>
      </c>
      <c r="N291" s="46" t="s">
        <v>794</v>
      </c>
      <c r="O291" s="47" t="s">
        <v>793</v>
      </c>
      <c r="P291" s="48">
        <v>0.5</v>
      </c>
      <c r="Q291" s="46" t="s">
        <v>794</v>
      </c>
      <c r="R291" s="47" t="s">
        <v>793</v>
      </c>
      <c r="S291" s="48">
        <v>0.6</v>
      </c>
      <c r="T291" s="46" t="s">
        <v>794</v>
      </c>
      <c r="U291" s="47" t="s">
        <v>793</v>
      </c>
      <c r="V291" s="48">
        <v>0.5</v>
      </c>
      <c r="W291" s="46" t="s">
        <v>795</v>
      </c>
      <c r="X291" s="47" t="s">
        <v>2582</v>
      </c>
      <c r="Y291" s="48">
        <v>0.5</v>
      </c>
      <c r="Z291" s="49" t="s">
        <v>796</v>
      </c>
      <c r="AA291" s="50" t="s">
        <v>793</v>
      </c>
      <c r="AB291" s="51">
        <v>0.5</v>
      </c>
    </row>
    <row r="292" spans="1:28" ht="13.5" customHeight="1">
      <c r="A292" s="27"/>
      <c r="B292" s="44"/>
      <c r="C292" s="36"/>
      <c r="D292" s="6"/>
      <c r="E292" s="46"/>
      <c r="F292" s="47"/>
      <c r="G292" s="48"/>
      <c r="H292" s="46"/>
      <c r="I292" s="47"/>
      <c r="J292" s="48"/>
      <c r="K292" s="46" t="s">
        <v>798</v>
      </c>
      <c r="L292" s="47" t="s">
        <v>797</v>
      </c>
      <c r="M292" s="48">
        <v>0.1</v>
      </c>
      <c r="N292" s="46" t="s">
        <v>798</v>
      </c>
      <c r="O292" s="47" t="s">
        <v>797</v>
      </c>
      <c r="P292" s="48">
        <v>0.1</v>
      </c>
      <c r="Q292" s="46" t="s">
        <v>798</v>
      </c>
      <c r="R292" s="47" t="s">
        <v>797</v>
      </c>
      <c r="S292" s="48">
        <v>0.2</v>
      </c>
      <c r="T292" s="46" t="s">
        <v>798</v>
      </c>
      <c r="U292" s="47" t="s">
        <v>797</v>
      </c>
      <c r="V292" s="48">
        <v>0.2</v>
      </c>
      <c r="W292" s="46" t="s">
        <v>799</v>
      </c>
      <c r="X292" s="47" t="s">
        <v>2583</v>
      </c>
      <c r="Y292" s="48">
        <v>0.3</v>
      </c>
      <c r="Z292" s="49" t="s">
        <v>800</v>
      </c>
      <c r="AA292" s="50" t="s">
        <v>797</v>
      </c>
      <c r="AB292" s="51">
        <v>0.3</v>
      </c>
    </row>
    <row r="293" spans="1:28" ht="13.5" customHeight="1">
      <c r="A293" s="27"/>
      <c r="B293" s="44"/>
      <c r="C293" s="36"/>
      <c r="D293" s="6"/>
      <c r="E293" s="46" t="s">
        <v>798</v>
      </c>
      <c r="F293" s="47" t="s">
        <v>801</v>
      </c>
      <c r="G293" s="48">
        <v>0.2</v>
      </c>
      <c r="H293" s="46" t="s">
        <v>798</v>
      </c>
      <c r="I293" s="47" t="s">
        <v>801</v>
      </c>
      <c r="J293" s="48">
        <v>0.1</v>
      </c>
      <c r="K293" s="46" t="s">
        <v>802</v>
      </c>
      <c r="L293" s="47" t="s">
        <v>801</v>
      </c>
      <c r="M293" s="48">
        <v>0.2</v>
      </c>
      <c r="N293" s="46" t="s">
        <v>802</v>
      </c>
      <c r="O293" s="47" t="s">
        <v>801</v>
      </c>
      <c r="P293" s="48">
        <v>0.1</v>
      </c>
      <c r="Q293" s="46" t="s">
        <v>802</v>
      </c>
      <c r="R293" s="47" t="s">
        <v>801</v>
      </c>
      <c r="S293" s="48">
        <v>0.2</v>
      </c>
      <c r="T293" s="46" t="s">
        <v>802</v>
      </c>
      <c r="U293" s="47" t="s">
        <v>801</v>
      </c>
      <c r="V293" s="48">
        <v>0.2</v>
      </c>
      <c r="W293" s="46" t="s">
        <v>803</v>
      </c>
      <c r="X293" s="47" t="s">
        <v>2584</v>
      </c>
      <c r="Y293" s="48">
        <v>0.2</v>
      </c>
      <c r="Z293" s="49" t="s">
        <v>804</v>
      </c>
      <c r="AA293" s="50" t="s">
        <v>805</v>
      </c>
      <c r="AB293" s="51">
        <v>0.1</v>
      </c>
    </row>
    <row r="294" spans="1:28" ht="13.5" customHeight="1">
      <c r="A294" s="27"/>
      <c r="B294" s="44"/>
      <c r="C294" s="36"/>
      <c r="D294" s="6"/>
      <c r="E294" s="46"/>
      <c r="F294" s="75"/>
      <c r="G294" s="48"/>
      <c r="H294" s="46"/>
      <c r="I294" s="75"/>
      <c r="J294" s="48"/>
      <c r="K294" s="46"/>
      <c r="L294" s="75"/>
      <c r="M294" s="48"/>
      <c r="N294" s="46"/>
      <c r="O294" s="75"/>
      <c r="P294" s="48"/>
      <c r="Q294" s="76"/>
      <c r="R294" s="75"/>
      <c r="S294" s="77"/>
      <c r="T294" s="76"/>
      <c r="U294" s="75"/>
      <c r="V294" s="77"/>
      <c r="W294" s="76"/>
      <c r="X294" s="75"/>
      <c r="Y294" s="77"/>
      <c r="Z294" s="78"/>
      <c r="AA294" s="79"/>
      <c r="AB294" s="80"/>
    </row>
    <row r="295" spans="1:28" ht="13.5" customHeight="1">
      <c r="A295" s="27"/>
      <c r="B295" s="44"/>
      <c r="C295" s="28" t="s">
        <v>806</v>
      </c>
      <c r="D295" s="30" t="s">
        <v>807</v>
      </c>
      <c r="E295" s="37" t="s">
        <v>808</v>
      </c>
      <c r="F295" s="71"/>
      <c r="G295" s="39">
        <f>SUM(G296:G300)</f>
        <v>1.3</v>
      </c>
      <c r="H295" s="37" t="s">
        <v>808</v>
      </c>
      <c r="I295" s="71"/>
      <c r="J295" s="39">
        <f>SUM(J296:J300)</f>
        <v>1.5</v>
      </c>
      <c r="K295" s="37" t="s">
        <v>808</v>
      </c>
      <c r="L295" s="71"/>
      <c r="M295" s="39">
        <f>SUM(M296:M300)</f>
        <v>1.8</v>
      </c>
      <c r="N295" s="37" t="s">
        <v>808</v>
      </c>
      <c r="O295" s="71"/>
      <c r="P295" s="39">
        <f>SUM(P296:P300)</f>
        <v>1.6</v>
      </c>
      <c r="Q295" s="37" t="s">
        <v>808</v>
      </c>
      <c r="R295" s="71"/>
      <c r="S295" s="39">
        <f>SUM(S296:S300)</f>
        <v>1.8000000000000003</v>
      </c>
      <c r="T295" s="37" t="s">
        <v>808</v>
      </c>
      <c r="U295" s="71"/>
      <c r="V295" s="39">
        <f>SUM(V296:V300)</f>
        <v>1.9000000000000001</v>
      </c>
      <c r="W295" s="72"/>
      <c r="X295" s="71"/>
      <c r="Y295" s="39">
        <f>SUM(Y296:Y300)</f>
        <v>2.1</v>
      </c>
      <c r="Z295" s="73"/>
      <c r="AA295" s="74"/>
      <c r="AB295" s="39">
        <f>SUM(AB296:AB300)</f>
        <v>2.1</v>
      </c>
    </row>
    <row r="296" spans="1:28" ht="13.5" customHeight="1">
      <c r="A296" s="27"/>
      <c r="B296" s="44"/>
      <c r="C296" s="44"/>
      <c r="D296" s="45"/>
      <c r="E296" s="46" t="s">
        <v>810</v>
      </c>
      <c r="F296" s="47" t="s">
        <v>809</v>
      </c>
      <c r="G296" s="48">
        <v>0.2</v>
      </c>
      <c r="H296" s="46" t="s">
        <v>810</v>
      </c>
      <c r="I296" s="47" t="s">
        <v>809</v>
      </c>
      <c r="J296" s="48">
        <v>0.2</v>
      </c>
      <c r="K296" s="46" t="s">
        <v>810</v>
      </c>
      <c r="L296" s="47" t="s">
        <v>809</v>
      </c>
      <c r="M296" s="48">
        <v>0.3</v>
      </c>
      <c r="N296" s="46" t="s">
        <v>810</v>
      </c>
      <c r="O296" s="47" t="s">
        <v>809</v>
      </c>
      <c r="P296" s="48">
        <v>0.3</v>
      </c>
      <c r="Q296" s="55" t="s">
        <v>810</v>
      </c>
      <c r="R296" s="47" t="s">
        <v>809</v>
      </c>
      <c r="S296" s="48">
        <v>0.3</v>
      </c>
      <c r="T296" s="55" t="s">
        <v>810</v>
      </c>
      <c r="U296" s="47" t="s">
        <v>809</v>
      </c>
      <c r="V296" s="48">
        <v>0.3</v>
      </c>
      <c r="W296" s="55" t="s">
        <v>811</v>
      </c>
      <c r="X296" s="47" t="s">
        <v>2585</v>
      </c>
      <c r="Y296" s="48">
        <v>0.5</v>
      </c>
      <c r="Z296" s="49" t="s">
        <v>812</v>
      </c>
      <c r="AA296" s="50" t="s">
        <v>809</v>
      </c>
      <c r="AB296" s="51">
        <v>0.5</v>
      </c>
    </row>
    <row r="297" spans="1:28" ht="13.5" customHeight="1">
      <c r="A297" s="27"/>
      <c r="B297" s="44"/>
      <c r="C297" s="36"/>
      <c r="D297" s="6"/>
      <c r="E297" s="46" t="s">
        <v>814</v>
      </c>
      <c r="F297" s="113" t="s">
        <v>813</v>
      </c>
      <c r="G297" s="48">
        <v>1.1000000000000001</v>
      </c>
      <c r="H297" s="46" t="s">
        <v>814</v>
      </c>
      <c r="I297" s="113" t="s">
        <v>813</v>
      </c>
      <c r="J297" s="48">
        <v>1.3</v>
      </c>
      <c r="K297" s="46" t="s">
        <v>814</v>
      </c>
      <c r="L297" s="113" t="s">
        <v>813</v>
      </c>
      <c r="M297" s="48">
        <v>1.2</v>
      </c>
      <c r="N297" s="46" t="s">
        <v>814</v>
      </c>
      <c r="O297" s="113" t="s">
        <v>813</v>
      </c>
      <c r="P297" s="48">
        <v>1.1000000000000001</v>
      </c>
      <c r="Q297" s="55" t="s">
        <v>814</v>
      </c>
      <c r="R297" s="113" t="s">
        <v>813</v>
      </c>
      <c r="S297" s="48">
        <v>1.1000000000000001</v>
      </c>
      <c r="T297" s="55" t="s">
        <v>814</v>
      </c>
      <c r="U297" s="113" t="s">
        <v>813</v>
      </c>
      <c r="V297" s="48">
        <v>1.3</v>
      </c>
      <c r="W297" s="55" t="s">
        <v>815</v>
      </c>
      <c r="X297" s="113" t="s">
        <v>2586</v>
      </c>
      <c r="Y297" s="48">
        <v>1.6</v>
      </c>
      <c r="Z297" s="49" t="s">
        <v>816</v>
      </c>
      <c r="AA297" s="50" t="s">
        <v>813</v>
      </c>
      <c r="AB297" s="51">
        <v>1.6</v>
      </c>
    </row>
    <row r="298" spans="1:28" ht="13.5" customHeight="1">
      <c r="A298" s="27"/>
      <c r="B298" s="44"/>
      <c r="C298" s="44"/>
      <c r="D298" s="45"/>
      <c r="E298" s="46"/>
      <c r="F298" s="47"/>
      <c r="G298" s="48"/>
      <c r="H298" s="46"/>
      <c r="I298" s="47"/>
      <c r="J298" s="48"/>
      <c r="K298" s="46"/>
      <c r="L298" s="47"/>
      <c r="M298" s="48"/>
      <c r="N298" s="46"/>
      <c r="O298" s="47"/>
      <c r="P298" s="48"/>
      <c r="Q298" s="55"/>
      <c r="R298" s="47"/>
      <c r="S298" s="48"/>
      <c r="T298" s="55"/>
      <c r="U298" s="47"/>
      <c r="V298" s="48"/>
      <c r="W298" s="55"/>
      <c r="X298" s="47"/>
      <c r="Y298" s="48"/>
      <c r="Z298" s="49"/>
      <c r="AA298" s="50"/>
      <c r="AB298" s="51"/>
    </row>
    <row r="299" spans="1:28" ht="13.5" customHeight="1">
      <c r="A299" s="27"/>
      <c r="B299" s="44"/>
      <c r="C299" s="36"/>
      <c r="D299" s="6"/>
      <c r="E299" s="46"/>
      <c r="F299" s="113"/>
      <c r="G299" s="48"/>
      <c r="H299" s="46"/>
      <c r="I299" s="113"/>
      <c r="J299" s="48"/>
      <c r="K299" s="46"/>
      <c r="L299" s="113"/>
      <c r="M299" s="48"/>
      <c r="N299" s="46"/>
      <c r="O299" s="113"/>
      <c r="P299" s="48"/>
      <c r="Q299" s="55" t="s">
        <v>817</v>
      </c>
      <c r="R299" s="113" t="s">
        <v>818</v>
      </c>
      <c r="S299" s="48">
        <v>0.1</v>
      </c>
      <c r="T299" s="55" t="s">
        <v>817</v>
      </c>
      <c r="U299" s="113" t="s">
        <v>818</v>
      </c>
      <c r="V299" s="48">
        <v>0.1</v>
      </c>
      <c r="W299" s="55"/>
      <c r="X299" s="113"/>
      <c r="Y299" s="48"/>
      <c r="Z299" s="49"/>
      <c r="AA299" s="50"/>
      <c r="AB299" s="51"/>
    </row>
    <row r="300" spans="1:28" ht="13.5" customHeight="1">
      <c r="A300" s="27"/>
      <c r="B300" s="44"/>
      <c r="C300" s="114"/>
      <c r="D300" s="83"/>
      <c r="E300" s="46"/>
      <c r="F300" s="115"/>
      <c r="G300" s="48"/>
      <c r="H300" s="46"/>
      <c r="I300" s="115"/>
      <c r="J300" s="48"/>
      <c r="K300" s="46" t="s">
        <v>817</v>
      </c>
      <c r="L300" s="115" t="s">
        <v>819</v>
      </c>
      <c r="M300" s="48">
        <v>0.3</v>
      </c>
      <c r="N300" s="46" t="s">
        <v>817</v>
      </c>
      <c r="O300" s="115" t="s">
        <v>819</v>
      </c>
      <c r="P300" s="48">
        <v>0.2</v>
      </c>
      <c r="Q300" s="116" t="s">
        <v>820</v>
      </c>
      <c r="R300" s="115" t="s">
        <v>819</v>
      </c>
      <c r="S300" s="77">
        <v>0.3</v>
      </c>
      <c r="T300" s="116" t="s">
        <v>820</v>
      </c>
      <c r="U300" s="115" t="s">
        <v>819</v>
      </c>
      <c r="V300" s="77">
        <v>0.2</v>
      </c>
      <c r="W300" s="116"/>
      <c r="X300" s="115"/>
      <c r="Y300" s="77"/>
      <c r="Z300" s="78"/>
      <c r="AA300" s="79"/>
      <c r="AB300" s="80"/>
    </row>
    <row r="301" spans="1:28" ht="13.5" customHeight="1">
      <c r="A301" s="27"/>
      <c r="B301" s="28" t="s">
        <v>821</v>
      </c>
      <c r="C301" s="13"/>
      <c r="D301" s="117" t="s">
        <v>822</v>
      </c>
      <c r="E301" s="31" t="s">
        <v>823</v>
      </c>
      <c r="F301" s="118"/>
      <c r="G301" s="33">
        <f>SUM(G302)</f>
        <v>7.5000000000000009</v>
      </c>
      <c r="H301" s="31" t="s">
        <v>823</v>
      </c>
      <c r="I301" s="118"/>
      <c r="J301" s="33">
        <f>SUM(J302)</f>
        <v>7</v>
      </c>
      <c r="K301" s="31" t="s">
        <v>823</v>
      </c>
      <c r="L301" s="118"/>
      <c r="M301" s="33">
        <f>SUM(M302)</f>
        <v>8.2999999999999989</v>
      </c>
      <c r="N301" s="31" t="s">
        <v>823</v>
      </c>
      <c r="O301" s="118"/>
      <c r="P301" s="33">
        <f>SUM(P302)</f>
        <v>8.5000000000000018</v>
      </c>
      <c r="Q301" s="31" t="s">
        <v>823</v>
      </c>
      <c r="R301" s="118"/>
      <c r="S301" s="33">
        <f>SUM(S302)</f>
        <v>9.5</v>
      </c>
      <c r="T301" s="31" t="s">
        <v>823</v>
      </c>
      <c r="U301" s="118"/>
      <c r="V301" s="33">
        <f>SUM(V302)</f>
        <v>8.9</v>
      </c>
      <c r="W301" s="119"/>
      <c r="X301" s="118"/>
      <c r="Y301" s="33">
        <f>SUM(Y302)</f>
        <v>7.2000000000000011</v>
      </c>
      <c r="Z301" s="120"/>
      <c r="AA301" s="121"/>
      <c r="AB301" s="33">
        <f>SUM(AB302)</f>
        <v>7.1</v>
      </c>
    </row>
    <row r="302" spans="1:28" ht="13.5" customHeight="1">
      <c r="A302" s="27"/>
      <c r="B302" s="36"/>
      <c r="C302" s="36" t="s">
        <v>824</v>
      </c>
      <c r="D302" s="6" t="s">
        <v>822</v>
      </c>
      <c r="E302" s="37" t="s">
        <v>825</v>
      </c>
      <c r="F302" s="92"/>
      <c r="G302" s="100">
        <f>SUM(G303:G308)</f>
        <v>7.5000000000000009</v>
      </c>
      <c r="H302" s="37" t="s">
        <v>825</v>
      </c>
      <c r="I302" s="92"/>
      <c r="J302" s="100">
        <f>SUM(J303:J308)</f>
        <v>7</v>
      </c>
      <c r="K302" s="37" t="s">
        <v>825</v>
      </c>
      <c r="L302" s="92"/>
      <c r="M302" s="100">
        <f>SUM(M303:M308)</f>
        <v>8.2999999999999989</v>
      </c>
      <c r="N302" s="37" t="s">
        <v>825</v>
      </c>
      <c r="O302" s="92"/>
      <c r="P302" s="100">
        <f>SUM(P303:P308)</f>
        <v>8.5000000000000018</v>
      </c>
      <c r="Q302" s="37" t="s">
        <v>825</v>
      </c>
      <c r="R302" s="92"/>
      <c r="S302" s="100">
        <f>SUM(S303:S308)</f>
        <v>9.5</v>
      </c>
      <c r="T302" s="37" t="s">
        <v>825</v>
      </c>
      <c r="U302" s="92"/>
      <c r="V302" s="100">
        <f>SUM(V303:V308)</f>
        <v>8.9</v>
      </c>
      <c r="W302" s="93"/>
      <c r="X302" s="92"/>
      <c r="Y302" s="100">
        <f>SUM(Y303:Y308)</f>
        <v>7.2000000000000011</v>
      </c>
      <c r="Z302" s="94"/>
      <c r="AA302" s="95"/>
      <c r="AB302" s="100">
        <f>SUM(AB303:AB308)</f>
        <v>7.1</v>
      </c>
    </row>
    <row r="303" spans="1:28" ht="13.5" customHeight="1">
      <c r="A303" s="27"/>
      <c r="B303" s="36"/>
      <c r="C303" s="36"/>
      <c r="D303" s="6"/>
      <c r="E303" s="46" t="s">
        <v>827</v>
      </c>
      <c r="F303" s="71" t="s">
        <v>826</v>
      </c>
      <c r="G303" s="48">
        <v>0.9</v>
      </c>
      <c r="H303" s="46" t="s">
        <v>827</v>
      </c>
      <c r="I303" s="71" t="s">
        <v>826</v>
      </c>
      <c r="J303" s="48">
        <v>0.9</v>
      </c>
      <c r="K303" s="46" t="s">
        <v>827</v>
      </c>
      <c r="L303" s="71" t="s">
        <v>826</v>
      </c>
      <c r="M303" s="48">
        <v>1</v>
      </c>
      <c r="N303" s="46" t="s">
        <v>827</v>
      </c>
      <c r="O303" s="71" t="s">
        <v>826</v>
      </c>
      <c r="P303" s="48">
        <v>1.2</v>
      </c>
      <c r="Q303" s="72" t="s">
        <v>827</v>
      </c>
      <c r="R303" s="71" t="s">
        <v>826</v>
      </c>
      <c r="S303" s="122">
        <v>1.1000000000000001</v>
      </c>
      <c r="T303" s="72" t="s">
        <v>827</v>
      </c>
      <c r="U303" s="71" t="s">
        <v>826</v>
      </c>
      <c r="V303" s="122">
        <v>1</v>
      </c>
      <c r="W303" s="72" t="s">
        <v>828</v>
      </c>
      <c r="X303" s="71" t="s">
        <v>2587</v>
      </c>
      <c r="Y303" s="122">
        <v>0.6</v>
      </c>
      <c r="Z303" s="42" t="s">
        <v>829</v>
      </c>
      <c r="AA303" s="43" t="s">
        <v>826</v>
      </c>
      <c r="AB303" s="123">
        <v>0.7</v>
      </c>
    </row>
    <row r="304" spans="1:28" ht="13.5" customHeight="1">
      <c r="A304" s="27"/>
      <c r="B304" s="36"/>
      <c r="C304" s="44"/>
      <c r="D304" s="45"/>
      <c r="E304" s="46" t="s">
        <v>830</v>
      </c>
      <c r="F304" s="47" t="s">
        <v>2588</v>
      </c>
      <c r="G304" s="48">
        <v>2</v>
      </c>
      <c r="H304" s="46" t="s">
        <v>830</v>
      </c>
      <c r="I304" s="47" t="s">
        <v>2588</v>
      </c>
      <c r="J304" s="48">
        <v>2.1</v>
      </c>
      <c r="K304" s="46" t="s">
        <v>830</v>
      </c>
      <c r="L304" s="47" t="s">
        <v>2588</v>
      </c>
      <c r="M304" s="48">
        <v>3.3</v>
      </c>
      <c r="N304" s="46" t="s">
        <v>830</v>
      </c>
      <c r="O304" s="47" t="s">
        <v>2588</v>
      </c>
      <c r="P304" s="48">
        <v>3.2</v>
      </c>
      <c r="Q304" s="46" t="s">
        <v>830</v>
      </c>
      <c r="R304" s="47" t="s">
        <v>831</v>
      </c>
      <c r="S304" s="48">
        <v>1.5</v>
      </c>
      <c r="T304" s="46" t="s">
        <v>830</v>
      </c>
      <c r="U304" s="47" t="s">
        <v>831</v>
      </c>
      <c r="V304" s="48">
        <v>1.7</v>
      </c>
      <c r="W304" s="46" t="s">
        <v>832</v>
      </c>
      <c r="X304" s="47" t="s">
        <v>2589</v>
      </c>
      <c r="Y304" s="48">
        <v>1.4</v>
      </c>
      <c r="Z304" s="49" t="s">
        <v>833</v>
      </c>
      <c r="AA304" s="50" t="s">
        <v>831</v>
      </c>
      <c r="AB304" s="51">
        <v>1.8</v>
      </c>
    </row>
    <row r="305" spans="1:28" ht="13.5" customHeight="1">
      <c r="A305" s="27"/>
      <c r="B305" s="44"/>
      <c r="C305" s="44"/>
      <c r="D305" s="6"/>
      <c r="E305" s="46"/>
      <c r="F305" s="47"/>
      <c r="G305" s="48"/>
      <c r="H305" s="46"/>
      <c r="I305" s="47"/>
      <c r="J305" s="48"/>
      <c r="K305" s="46"/>
      <c r="L305" s="47"/>
      <c r="M305" s="48"/>
      <c r="N305" s="46"/>
      <c r="O305" s="47"/>
      <c r="P305" s="48"/>
      <c r="Q305" s="46" t="s">
        <v>834</v>
      </c>
      <c r="R305" s="47" t="s">
        <v>835</v>
      </c>
      <c r="S305" s="48">
        <v>2.6</v>
      </c>
      <c r="T305" s="46" t="s">
        <v>834</v>
      </c>
      <c r="U305" s="47" t="s">
        <v>835</v>
      </c>
      <c r="V305" s="48">
        <v>2.5</v>
      </c>
      <c r="W305" s="46" t="s">
        <v>836</v>
      </c>
      <c r="X305" s="47" t="s">
        <v>2590</v>
      </c>
      <c r="Y305" s="48">
        <v>2.4</v>
      </c>
      <c r="Z305" s="49" t="s">
        <v>837</v>
      </c>
      <c r="AA305" s="50" t="s">
        <v>835</v>
      </c>
      <c r="AB305" s="51">
        <v>2.6</v>
      </c>
    </row>
    <row r="306" spans="1:28" ht="13.5" customHeight="1">
      <c r="A306" s="27"/>
      <c r="B306" s="44"/>
      <c r="C306" s="36"/>
      <c r="D306" s="6"/>
      <c r="E306" s="46" t="s">
        <v>834</v>
      </c>
      <c r="F306" s="47" t="s">
        <v>838</v>
      </c>
      <c r="G306" s="48">
        <v>4.4000000000000004</v>
      </c>
      <c r="H306" s="46" t="s">
        <v>834</v>
      </c>
      <c r="I306" s="47" t="s">
        <v>838</v>
      </c>
      <c r="J306" s="48">
        <v>3.8</v>
      </c>
      <c r="K306" s="46" t="s">
        <v>834</v>
      </c>
      <c r="L306" s="47" t="s">
        <v>838</v>
      </c>
      <c r="M306" s="48">
        <v>3.9</v>
      </c>
      <c r="N306" s="46" t="s">
        <v>834</v>
      </c>
      <c r="O306" s="47" t="s">
        <v>838</v>
      </c>
      <c r="P306" s="48">
        <v>3.7</v>
      </c>
      <c r="Q306" s="46" t="s">
        <v>839</v>
      </c>
      <c r="R306" s="47" t="s">
        <v>838</v>
      </c>
      <c r="S306" s="48">
        <v>3.9</v>
      </c>
      <c r="T306" s="46" t="s">
        <v>839</v>
      </c>
      <c r="U306" s="47" t="s">
        <v>838</v>
      </c>
      <c r="V306" s="48">
        <v>3.3</v>
      </c>
      <c r="W306" s="46" t="s">
        <v>840</v>
      </c>
      <c r="X306" s="47" t="s">
        <v>2591</v>
      </c>
      <c r="Y306" s="48">
        <v>2.4</v>
      </c>
      <c r="Z306" s="49" t="s">
        <v>841</v>
      </c>
      <c r="AA306" s="50" t="s">
        <v>838</v>
      </c>
      <c r="AB306" s="51">
        <v>1.7</v>
      </c>
    </row>
    <row r="307" spans="1:28" ht="13.5" customHeight="1">
      <c r="A307" s="27"/>
      <c r="B307" s="44"/>
      <c r="C307" s="36"/>
      <c r="D307" s="6"/>
      <c r="E307" s="46"/>
      <c r="F307" s="47"/>
      <c r="G307" s="48"/>
      <c r="H307" s="46"/>
      <c r="I307" s="47"/>
      <c r="J307" s="48"/>
      <c r="K307" s="46"/>
      <c r="L307" s="47"/>
      <c r="M307" s="48"/>
      <c r="N307" s="46"/>
      <c r="O307" s="47"/>
      <c r="P307" s="48"/>
      <c r="Q307" s="46"/>
      <c r="R307" s="47"/>
      <c r="S307" s="48"/>
      <c r="T307" s="46"/>
      <c r="U307" s="47"/>
      <c r="V307" s="48"/>
      <c r="W307" s="46"/>
      <c r="X307" s="47"/>
      <c r="Y307" s="48"/>
      <c r="Z307" s="49"/>
      <c r="AA307" s="50"/>
      <c r="AB307" s="51"/>
    </row>
    <row r="308" spans="1:28" ht="13.5" customHeight="1">
      <c r="A308" s="27"/>
      <c r="B308" s="44"/>
      <c r="C308" s="36"/>
      <c r="D308" s="83"/>
      <c r="E308" s="57" t="s">
        <v>839</v>
      </c>
      <c r="F308" s="75" t="s">
        <v>842</v>
      </c>
      <c r="G308" s="48">
        <v>0.2</v>
      </c>
      <c r="H308" s="57" t="s">
        <v>839</v>
      </c>
      <c r="I308" s="75" t="s">
        <v>842</v>
      </c>
      <c r="J308" s="48">
        <v>0.2</v>
      </c>
      <c r="K308" s="57" t="s">
        <v>839</v>
      </c>
      <c r="L308" s="75" t="s">
        <v>842</v>
      </c>
      <c r="M308" s="48">
        <v>0.1</v>
      </c>
      <c r="N308" s="57" t="s">
        <v>839</v>
      </c>
      <c r="O308" s="75" t="s">
        <v>842</v>
      </c>
      <c r="P308" s="48">
        <v>0.4</v>
      </c>
      <c r="Q308" s="76" t="s">
        <v>843</v>
      </c>
      <c r="R308" s="75" t="s">
        <v>842</v>
      </c>
      <c r="S308" s="77">
        <v>0.4</v>
      </c>
      <c r="T308" s="76" t="s">
        <v>843</v>
      </c>
      <c r="U308" s="75" t="s">
        <v>842</v>
      </c>
      <c r="V308" s="77">
        <v>0.4</v>
      </c>
      <c r="W308" s="76" t="s">
        <v>844</v>
      </c>
      <c r="X308" s="75" t="s">
        <v>2592</v>
      </c>
      <c r="Y308" s="77">
        <v>0.4</v>
      </c>
      <c r="Z308" s="78" t="s">
        <v>845</v>
      </c>
      <c r="AA308" s="79" t="s">
        <v>842</v>
      </c>
      <c r="AB308" s="80">
        <v>0.3</v>
      </c>
    </row>
    <row r="309" spans="1:28" ht="13.5" customHeight="1">
      <c r="A309" s="85" t="s">
        <v>846</v>
      </c>
      <c r="B309" s="86"/>
      <c r="C309" s="29"/>
      <c r="D309" s="6" t="s">
        <v>847</v>
      </c>
      <c r="E309" s="93"/>
      <c r="F309" s="118"/>
      <c r="G309" s="100">
        <f>SUM(G310,G317,G340,G349)</f>
        <v>171.6</v>
      </c>
      <c r="H309" s="93"/>
      <c r="I309" s="118"/>
      <c r="J309" s="100">
        <f>SUM(J310,J317,J340,J349)</f>
        <v>171.60000000000002</v>
      </c>
      <c r="K309" s="93"/>
      <c r="L309" s="118"/>
      <c r="M309" s="100">
        <f>SUM(M310,M317,M340,M349)</f>
        <v>165.89999999999998</v>
      </c>
      <c r="N309" s="93"/>
      <c r="O309" s="118"/>
      <c r="P309" s="100">
        <f>SUM(P310,P317,P340,P349)</f>
        <v>170.2</v>
      </c>
      <c r="Q309" s="119"/>
      <c r="R309" s="118"/>
      <c r="S309" s="124">
        <f>SUM(S310,S317,S340,S349)</f>
        <v>173</v>
      </c>
      <c r="T309" s="119"/>
      <c r="U309" s="118"/>
      <c r="V309" s="124">
        <f>SUM(V310,V317,V340,V349)</f>
        <v>169.7</v>
      </c>
      <c r="W309" s="119"/>
      <c r="X309" s="118"/>
      <c r="Y309" s="124">
        <f>SUM(Y310,Y317,Y340,Y349)</f>
        <v>171.2</v>
      </c>
      <c r="Z309" s="65"/>
      <c r="AA309" s="66"/>
      <c r="AB309" s="124">
        <f>SUM(AB310,AB317,AB340,AB349)</f>
        <v>210.9</v>
      </c>
    </row>
    <row r="310" spans="1:28" ht="13.5" customHeight="1">
      <c r="A310" s="27"/>
      <c r="B310" s="28" t="s">
        <v>848</v>
      </c>
      <c r="C310" s="29"/>
      <c r="D310" s="30" t="s">
        <v>849</v>
      </c>
      <c r="E310" s="31" t="s">
        <v>850</v>
      </c>
      <c r="F310" s="125"/>
      <c r="G310" s="33">
        <f>SUM(G311)</f>
        <v>99.1</v>
      </c>
      <c r="H310" s="31" t="s">
        <v>850</v>
      </c>
      <c r="I310" s="125"/>
      <c r="J310" s="33">
        <f>SUM(J311)</f>
        <v>98.3</v>
      </c>
      <c r="K310" s="31" t="s">
        <v>850</v>
      </c>
      <c r="L310" s="125"/>
      <c r="M310" s="33">
        <f>SUM(M311)</f>
        <v>93.699999999999989</v>
      </c>
      <c r="N310" s="31" t="s">
        <v>850</v>
      </c>
      <c r="O310" s="125"/>
      <c r="P310" s="33">
        <f>SUM(P311)</f>
        <v>93.2</v>
      </c>
      <c r="Q310" s="31" t="s">
        <v>850</v>
      </c>
      <c r="R310" s="125"/>
      <c r="S310" s="33">
        <f>SUM(S311)</f>
        <v>92.8</v>
      </c>
      <c r="T310" s="31" t="s">
        <v>850</v>
      </c>
      <c r="U310" s="125"/>
      <c r="V310" s="33">
        <f>SUM(V311)</f>
        <v>91.8</v>
      </c>
      <c r="W310" s="126"/>
      <c r="X310" s="125"/>
      <c r="Y310" s="33">
        <f>SUM(Y311)</f>
        <v>97.5</v>
      </c>
      <c r="Z310" s="94"/>
      <c r="AA310" s="95"/>
      <c r="AB310" s="33">
        <f>SUM(AB311)</f>
        <v>131.4</v>
      </c>
    </row>
    <row r="311" spans="1:28" ht="13.5" customHeight="1">
      <c r="A311" s="27"/>
      <c r="B311" s="36"/>
      <c r="C311" s="28" t="s">
        <v>851</v>
      </c>
      <c r="D311" s="30" t="s">
        <v>852</v>
      </c>
      <c r="E311" s="37" t="s">
        <v>853</v>
      </c>
      <c r="F311" s="41"/>
      <c r="G311" s="39">
        <f>SUM(G312:G314)</f>
        <v>99.1</v>
      </c>
      <c r="H311" s="37" t="s">
        <v>853</v>
      </c>
      <c r="I311" s="41"/>
      <c r="J311" s="39">
        <f>SUM(J312:J314)</f>
        <v>98.3</v>
      </c>
      <c r="K311" s="37" t="s">
        <v>853</v>
      </c>
      <c r="L311" s="41"/>
      <c r="M311" s="39">
        <f>SUM(M312:M314)</f>
        <v>93.699999999999989</v>
      </c>
      <c r="N311" s="37" t="s">
        <v>853</v>
      </c>
      <c r="O311" s="41"/>
      <c r="P311" s="39">
        <f>SUM(P312:P314)</f>
        <v>93.2</v>
      </c>
      <c r="Q311" s="37" t="s">
        <v>853</v>
      </c>
      <c r="R311" s="41"/>
      <c r="S311" s="39">
        <f>SUM(S312:S314)</f>
        <v>92.8</v>
      </c>
      <c r="T311" s="37" t="s">
        <v>853</v>
      </c>
      <c r="U311" s="41"/>
      <c r="V311" s="39">
        <f>SUM(V312:V314)</f>
        <v>91.8</v>
      </c>
      <c r="W311" s="40"/>
      <c r="X311" s="41"/>
      <c r="Y311" s="39">
        <f>SUM(Y312:Y314)</f>
        <v>97.5</v>
      </c>
      <c r="Z311" s="42"/>
      <c r="AA311" s="43"/>
      <c r="AB311" s="39">
        <f>SUM(AB312:AB314)</f>
        <v>131.4</v>
      </c>
    </row>
    <row r="312" spans="1:28" ht="13.5" customHeight="1">
      <c r="A312" s="27"/>
      <c r="B312" s="44"/>
      <c r="C312" s="44"/>
      <c r="D312" s="45"/>
      <c r="E312" s="46" t="s">
        <v>855</v>
      </c>
      <c r="F312" s="47" t="s">
        <v>854</v>
      </c>
      <c r="G312" s="48">
        <v>54.2</v>
      </c>
      <c r="H312" s="46" t="s">
        <v>855</v>
      </c>
      <c r="I312" s="47" t="s">
        <v>854</v>
      </c>
      <c r="J312" s="48">
        <v>54</v>
      </c>
      <c r="K312" s="46" t="s">
        <v>855</v>
      </c>
      <c r="L312" s="47" t="s">
        <v>854</v>
      </c>
      <c r="M312" s="48">
        <v>48.9</v>
      </c>
      <c r="N312" s="46" t="s">
        <v>855</v>
      </c>
      <c r="O312" s="47" t="s">
        <v>854</v>
      </c>
      <c r="P312" s="48">
        <v>49.6</v>
      </c>
      <c r="Q312" s="46" t="s">
        <v>855</v>
      </c>
      <c r="R312" s="47" t="s">
        <v>854</v>
      </c>
      <c r="S312" s="48">
        <v>62</v>
      </c>
      <c r="T312" s="46" t="s">
        <v>855</v>
      </c>
      <c r="U312" s="47" t="s">
        <v>854</v>
      </c>
      <c r="V312" s="48">
        <v>61.3</v>
      </c>
      <c r="W312" s="46" t="s">
        <v>856</v>
      </c>
      <c r="X312" s="47" t="s">
        <v>2593</v>
      </c>
      <c r="Y312" s="48">
        <v>66.400000000000006</v>
      </c>
      <c r="Z312" s="49" t="s">
        <v>613</v>
      </c>
      <c r="AA312" s="50" t="s">
        <v>854</v>
      </c>
      <c r="AB312" s="51">
        <v>93.5</v>
      </c>
    </row>
    <row r="313" spans="1:28" ht="13.5" customHeight="1">
      <c r="A313" s="27"/>
      <c r="B313" s="44"/>
      <c r="C313" s="36"/>
      <c r="D313" s="6"/>
      <c r="E313" s="46" t="s">
        <v>858</v>
      </c>
      <c r="F313" s="47" t="s">
        <v>857</v>
      </c>
      <c r="G313" s="48">
        <v>44.9</v>
      </c>
      <c r="H313" s="46" t="s">
        <v>858</v>
      </c>
      <c r="I313" s="47" t="s">
        <v>857</v>
      </c>
      <c r="J313" s="48">
        <v>44.3</v>
      </c>
      <c r="K313" s="46" t="s">
        <v>858</v>
      </c>
      <c r="L313" s="47" t="s">
        <v>857</v>
      </c>
      <c r="M313" s="48">
        <v>44.8</v>
      </c>
      <c r="N313" s="46" t="s">
        <v>858</v>
      </c>
      <c r="O313" s="47" t="s">
        <v>857</v>
      </c>
      <c r="P313" s="48">
        <v>43.6</v>
      </c>
      <c r="Q313" s="46" t="s">
        <v>858</v>
      </c>
      <c r="R313" s="47" t="s">
        <v>857</v>
      </c>
      <c r="S313" s="48">
        <v>30.8</v>
      </c>
      <c r="T313" s="46" t="s">
        <v>858</v>
      </c>
      <c r="U313" s="47" t="s">
        <v>857</v>
      </c>
      <c r="V313" s="48">
        <v>30.5</v>
      </c>
      <c r="W313" s="46" t="s">
        <v>859</v>
      </c>
      <c r="X313" s="47" t="s">
        <v>2594</v>
      </c>
      <c r="Y313" s="48">
        <v>31.1</v>
      </c>
      <c r="Z313" s="49" t="s">
        <v>598</v>
      </c>
      <c r="AA313" s="50" t="s">
        <v>857</v>
      </c>
      <c r="AB313" s="51">
        <v>37.9</v>
      </c>
    </row>
    <row r="314" spans="1:28" ht="13.5" customHeight="1">
      <c r="A314" s="27"/>
      <c r="B314" s="44"/>
      <c r="C314" s="82"/>
      <c r="D314" s="83"/>
      <c r="E314" s="46"/>
      <c r="F314" s="75"/>
      <c r="G314" s="48"/>
      <c r="H314" s="46"/>
      <c r="I314" s="75"/>
      <c r="J314" s="48"/>
      <c r="K314" s="46"/>
      <c r="L314" s="75"/>
      <c r="M314" s="48"/>
      <c r="N314" s="46"/>
      <c r="O314" s="75"/>
      <c r="P314" s="48"/>
      <c r="Q314" s="76"/>
      <c r="R314" s="75"/>
      <c r="S314" s="77"/>
      <c r="T314" s="76"/>
      <c r="U314" s="75"/>
      <c r="V314" s="77"/>
      <c r="W314" s="76"/>
      <c r="X314" s="75"/>
      <c r="Y314" s="77"/>
      <c r="Z314" s="78"/>
      <c r="AA314" s="79"/>
      <c r="AB314" s="80"/>
    </row>
    <row r="315" spans="1:28" ht="13.5" customHeight="1">
      <c r="A315" s="27"/>
      <c r="B315" s="28" t="s">
        <v>860</v>
      </c>
      <c r="C315" s="21"/>
      <c r="D315" s="6" t="s">
        <v>861</v>
      </c>
      <c r="E315" s="31" t="s">
        <v>862</v>
      </c>
      <c r="F315" s="127"/>
      <c r="G315" s="33"/>
      <c r="H315" s="31" t="s">
        <v>862</v>
      </c>
      <c r="I315" s="127"/>
      <c r="J315" s="33"/>
      <c r="K315" s="31" t="s">
        <v>862</v>
      </c>
      <c r="L315" s="127"/>
      <c r="M315" s="33"/>
      <c r="N315" s="31" t="s">
        <v>862</v>
      </c>
      <c r="O315" s="127"/>
      <c r="P315" s="33"/>
      <c r="Q315" s="31" t="s">
        <v>862</v>
      </c>
      <c r="R315" s="127"/>
      <c r="S315" s="33"/>
      <c r="T315" s="31" t="s">
        <v>862</v>
      </c>
      <c r="U315" s="127"/>
      <c r="V315" s="33"/>
      <c r="W315" s="128"/>
      <c r="X315" s="127"/>
      <c r="Y315" s="129"/>
      <c r="Z315" s="120"/>
      <c r="AA315" s="121"/>
      <c r="AB315" s="130"/>
    </row>
    <row r="316" spans="1:28" ht="13.5" customHeight="1">
      <c r="A316" s="27"/>
      <c r="B316" s="44"/>
      <c r="C316" s="28" t="s">
        <v>863</v>
      </c>
      <c r="D316" s="30" t="s">
        <v>861</v>
      </c>
      <c r="E316" s="37" t="s">
        <v>864</v>
      </c>
      <c r="F316" s="99"/>
      <c r="G316" s="131"/>
      <c r="H316" s="37" t="s">
        <v>864</v>
      </c>
      <c r="I316" s="99"/>
      <c r="J316" s="131"/>
      <c r="K316" s="37" t="s">
        <v>864</v>
      </c>
      <c r="L316" s="99"/>
      <c r="M316" s="131"/>
      <c r="N316" s="37" t="s">
        <v>864</v>
      </c>
      <c r="O316" s="99"/>
      <c r="P316" s="131"/>
      <c r="Q316" s="37" t="s">
        <v>864</v>
      </c>
      <c r="R316" s="99"/>
      <c r="S316" s="131"/>
      <c r="T316" s="37" t="s">
        <v>864</v>
      </c>
      <c r="U316" s="99"/>
      <c r="V316" s="131"/>
      <c r="W316" s="87"/>
      <c r="X316" s="99"/>
      <c r="Y316" s="131"/>
      <c r="Z316" s="94"/>
      <c r="AA316" s="95"/>
      <c r="AB316" s="132"/>
    </row>
    <row r="317" spans="1:28" ht="13.5" customHeight="1">
      <c r="A317" s="27"/>
      <c r="B317" s="28" t="s">
        <v>865</v>
      </c>
      <c r="C317" s="29"/>
      <c r="D317" s="30" t="s">
        <v>866</v>
      </c>
      <c r="E317" s="31" t="s">
        <v>867</v>
      </c>
      <c r="F317" s="99"/>
      <c r="G317" s="33">
        <f>SUM(G318)</f>
        <v>9.3000000000000007</v>
      </c>
      <c r="H317" s="31" t="s">
        <v>867</v>
      </c>
      <c r="I317" s="99"/>
      <c r="J317" s="33">
        <f>SUM(J318)</f>
        <v>10.199999999999999</v>
      </c>
      <c r="K317" s="31" t="s">
        <v>867</v>
      </c>
      <c r="L317" s="99"/>
      <c r="M317" s="33">
        <f>SUM(M318)</f>
        <v>8.1999999999999993</v>
      </c>
      <c r="N317" s="31" t="s">
        <v>867</v>
      </c>
      <c r="O317" s="99"/>
      <c r="P317" s="33">
        <f>SUM(P318)</f>
        <v>7.7</v>
      </c>
      <c r="Q317" s="31" t="s">
        <v>867</v>
      </c>
      <c r="R317" s="99"/>
      <c r="S317" s="33">
        <f>SUM(S318)</f>
        <v>7.6000000000000014</v>
      </c>
      <c r="T317" s="31" t="s">
        <v>867</v>
      </c>
      <c r="U317" s="99"/>
      <c r="V317" s="33">
        <f>SUM(V318)</f>
        <v>7.2000000000000011</v>
      </c>
      <c r="W317" s="87"/>
      <c r="X317" s="99"/>
      <c r="Y317" s="33">
        <f>SUM(Y318)</f>
        <v>7.6000000000000014</v>
      </c>
      <c r="Z317" s="94"/>
      <c r="AA317" s="95"/>
      <c r="AB317" s="33">
        <f>SUM(AB318)</f>
        <v>12.500000000000002</v>
      </c>
    </row>
    <row r="318" spans="1:28" ht="13.5" customHeight="1">
      <c r="A318" s="27"/>
      <c r="B318" s="36"/>
      <c r="C318" s="28" t="s">
        <v>868</v>
      </c>
      <c r="D318" s="133" t="s">
        <v>866</v>
      </c>
      <c r="E318" s="37" t="s">
        <v>869</v>
      </c>
      <c r="F318" s="134"/>
      <c r="G318" s="39">
        <f>SUM(G319:G339)</f>
        <v>9.3000000000000007</v>
      </c>
      <c r="H318" s="37" t="s">
        <v>869</v>
      </c>
      <c r="I318" s="134"/>
      <c r="J318" s="39">
        <f>SUM(J319:J339)</f>
        <v>10.199999999999999</v>
      </c>
      <c r="K318" s="37" t="s">
        <v>869</v>
      </c>
      <c r="L318" s="134"/>
      <c r="M318" s="39">
        <f>SUM(M319:M339)</f>
        <v>8.1999999999999993</v>
      </c>
      <c r="N318" s="37" t="s">
        <v>869</v>
      </c>
      <c r="O318" s="134"/>
      <c r="P318" s="39">
        <f>SUM(P319:P339)</f>
        <v>7.7</v>
      </c>
      <c r="Q318" s="37" t="s">
        <v>869</v>
      </c>
      <c r="R318" s="134"/>
      <c r="S318" s="39">
        <f>SUM(S319:S339)</f>
        <v>7.6000000000000014</v>
      </c>
      <c r="T318" s="37" t="s">
        <v>869</v>
      </c>
      <c r="U318" s="134"/>
      <c r="V318" s="39">
        <f>SUM(V319:V339)</f>
        <v>7.2000000000000011</v>
      </c>
      <c r="W318" s="135"/>
      <c r="X318" s="134"/>
      <c r="Y318" s="39">
        <f>SUM(Y319:Y339)</f>
        <v>7.6000000000000014</v>
      </c>
      <c r="Z318" s="73"/>
      <c r="AA318" s="74"/>
      <c r="AB318" s="39">
        <f>SUM(AB319:AB339)</f>
        <v>12.500000000000002</v>
      </c>
    </row>
    <row r="319" spans="1:28" ht="13.5" customHeight="1">
      <c r="A319" s="27"/>
      <c r="B319" s="44"/>
      <c r="C319" s="36"/>
      <c r="D319" s="6"/>
      <c r="E319" s="46" t="s">
        <v>870</v>
      </c>
      <c r="F319" s="47" t="s">
        <v>2595</v>
      </c>
      <c r="G319" s="48">
        <v>3.4</v>
      </c>
      <c r="H319" s="46" t="s">
        <v>870</v>
      </c>
      <c r="I319" s="47" t="s">
        <v>2595</v>
      </c>
      <c r="J319" s="48">
        <v>3.4</v>
      </c>
      <c r="K319" s="46" t="s">
        <v>870</v>
      </c>
      <c r="L319" s="47" t="s">
        <v>2595</v>
      </c>
      <c r="M319" s="48">
        <v>3.2</v>
      </c>
      <c r="N319" s="46" t="s">
        <v>870</v>
      </c>
      <c r="O319" s="47" t="s">
        <v>2595</v>
      </c>
      <c r="P319" s="48">
        <v>2.5</v>
      </c>
      <c r="Q319" s="46" t="s">
        <v>870</v>
      </c>
      <c r="R319" s="47" t="s">
        <v>871</v>
      </c>
      <c r="S319" s="48">
        <v>1</v>
      </c>
      <c r="T319" s="46" t="s">
        <v>870</v>
      </c>
      <c r="U319" s="47" t="s">
        <v>871</v>
      </c>
      <c r="V319" s="48">
        <v>0.9</v>
      </c>
      <c r="W319" s="46" t="s">
        <v>872</v>
      </c>
      <c r="X319" s="47" t="s">
        <v>2596</v>
      </c>
      <c r="Y319" s="48">
        <v>0.6</v>
      </c>
      <c r="Z319" s="49" t="s">
        <v>634</v>
      </c>
      <c r="AA319" s="50" t="s">
        <v>873</v>
      </c>
      <c r="AB319" s="51">
        <v>0.7</v>
      </c>
    </row>
    <row r="320" spans="1:28" ht="13.5" customHeight="1">
      <c r="A320" s="27"/>
      <c r="B320" s="44"/>
      <c r="C320" s="44"/>
      <c r="D320" s="6"/>
      <c r="E320" s="46"/>
      <c r="F320" s="47"/>
      <c r="G320" s="48"/>
      <c r="H320" s="46"/>
      <c r="I320" s="47"/>
      <c r="J320" s="48"/>
      <c r="K320" s="46"/>
      <c r="L320" s="47"/>
      <c r="M320" s="48"/>
      <c r="N320" s="46"/>
      <c r="O320" s="47"/>
      <c r="P320" s="48"/>
      <c r="Q320" s="46" t="s">
        <v>874</v>
      </c>
      <c r="R320" s="47" t="s">
        <v>875</v>
      </c>
      <c r="S320" s="48">
        <v>1</v>
      </c>
      <c r="T320" s="46" t="s">
        <v>874</v>
      </c>
      <c r="U320" s="47" t="s">
        <v>875</v>
      </c>
      <c r="V320" s="48">
        <v>0.9</v>
      </c>
      <c r="W320" s="46" t="s">
        <v>876</v>
      </c>
      <c r="X320" s="47" t="s">
        <v>2597</v>
      </c>
      <c r="Y320" s="48">
        <v>0.8</v>
      </c>
      <c r="Z320" s="49" t="s">
        <v>638</v>
      </c>
      <c r="AA320" s="50" t="s">
        <v>877</v>
      </c>
      <c r="AB320" s="51">
        <v>0.7</v>
      </c>
    </row>
    <row r="321" spans="1:28" ht="13.5" customHeight="1">
      <c r="A321" s="27"/>
      <c r="B321" s="44"/>
      <c r="C321" s="44"/>
      <c r="D321" s="45"/>
      <c r="E321" s="46"/>
      <c r="F321" s="47"/>
      <c r="G321" s="48"/>
      <c r="H321" s="46"/>
      <c r="I321" s="47"/>
      <c r="J321" s="48"/>
      <c r="K321" s="46"/>
      <c r="L321" s="47"/>
      <c r="M321" s="48"/>
      <c r="N321" s="46"/>
      <c r="O321" s="47"/>
      <c r="P321" s="48"/>
      <c r="Q321" s="46" t="s">
        <v>878</v>
      </c>
      <c r="R321" s="47" t="s">
        <v>879</v>
      </c>
      <c r="S321" s="48">
        <v>0.3</v>
      </c>
      <c r="T321" s="46" t="s">
        <v>878</v>
      </c>
      <c r="U321" s="47" t="s">
        <v>879</v>
      </c>
      <c r="V321" s="48">
        <v>0.4</v>
      </c>
      <c r="W321" s="46" t="s">
        <v>880</v>
      </c>
      <c r="X321" s="47" t="s">
        <v>2598</v>
      </c>
      <c r="Y321" s="48">
        <v>0.1</v>
      </c>
      <c r="Z321" s="49" t="s">
        <v>881</v>
      </c>
      <c r="AA321" s="50" t="s">
        <v>879</v>
      </c>
      <c r="AB321" s="51">
        <v>0.2</v>
      </c>
    </row>
    <row r="322" spans="1:28" ht="13.5" customHeight="1">
      <c r="A322" s="27"/>
      <c r="B322" s="44"/>
      <c r="C322" s="44"/>
      <c r="D322" s="6"/>
      <c r="E322" s="46"/>
      <c r="F322" s="47"/>
      <c r="G322" s="48"/>
      <c r="H322" s="46"/>
      <c r="I322" s="47"/>
      <c r="J322" s="48"/>
      <c r="K322" s="46"/>
      <c r="L322" s="47"/>
      <c r="M322" s="48"/>
      <c r="N322" s="46"/>
      <c r="O322" s="47"/>
      <c r="P322" s="48"/>
      <c r="Q322" s="46"/>
      <c r="R322" s="47"/>
      <c r="S322" s="48"/>
      <c r="T322" s="46"/>
      <c r="U322" s="47"/>
      <c r="V322" s="48"/>
      <c r="W322" s="46"/>
      <c r="X322" s="47"/>
      <c r="Y322" s="48"/>
      <c r="Z322" s="49"/>
      <c r="AA322" s="50"/>
      <c r="AB322" s="51"/>
    </row>
    <row r="323" spans="1:28" ht="13.5" customHeight="1">
      <c r="A323" s="27"/>
      <c r="B323" s="44"/>
      <c r="C323" s="44"/>
      <c r="D323" s="6"/>
      <c r="E323" s="46"/>
      <c r="F323" s="47"/>
      <c r="G323" s="48"/>
      <c r="H323" s="46"/>
      <c r="I323" s="47"/>
      <c r="J323" s="48"/>
      <c r="K323" s="46"/>
      <c r="L323" s="47"/>
      <c r="M323" s="48"/>
      <c r="N323" s="46"/>
      <c r="O323" s="47"/>
      <c r="P323" s="48"/>
      <c r="Q323" s="46"/>
      <c r="R323" s="47"/>
      <c r="S323" s="48"/>
      <c r="T323" s="46"/>
      <c r="U323" s="47"/>
      <c r="V323" s="48"/>
      <c r="W323" s="46"/>
      <c r="X323" s="47"/>
      <c r="Y323" s="48"/>
      <c r="Z323" s="49"/>
      <c r="AA323" s="50"/>
      <c r="AB323" s="51"/>
    </row>
    <row r="324" spans="1:28" ht="13.5" customHeight="1">
      <c r="A324" s="27"/>
      <c r="B324" s="44"/>
      <c r="C324" s="44"/>
      <c r="D324" s="6"/>
      <c r="E324" s="46"/>
      <c r="F324" s="47"/>
      <c r="G324" s="48"/>
      <c r="H324" s="46"/>
      <c r="I324" s="47"/>
      <c r="J324" s="48"/>
      <c r="K324" s="46"/>
      <c r="L324" s="47"/>
      <c r="M324" s="48"/>
      <c r="N324" s="46"/>
      <c r="O324" s="47"/>
      <c r="P324" s="48"/>
      <c r="Q324" s="46"/>
      <c r="R324" s="47"/>
      <c r="S324" s="48"/>
      <c r="T324" s="46"/>
      <c r="U324" s="47"/>
      <c r="V324" s="48"/>
      <c r="W324" s="46"/>
      <c r="X324" s="47"/>
      <c r="Y324" s="48"/>
      <c r="Z324" s="49"/>
      <c r="AA324" s="50"/>
      <c r="AB324" s="51"/>
    </row>
    <row r="325" spans="1:28" ht="13.5" customHeight="1">
      <c r="A325" s="27"/>
      <c r="B325" s="44"/>
      <c r="C325" s="36"/>
      <c r="D325" s="6"/>
      <c r="E325" s="46"/>
      <c r="F325" s="47"/>
      <c r="G325" s="48"/>
      <c r="H325" s="46"/>
      <c r="I325" s="47"/>
      <c r="J325" s="48"/>
      <c r="K325" s="46"/>
      <c r="L325" s="47"/>
      <c r="M325" s="48"/>
      <c r="N325" s="46"/>
      <c r="O325" s="47"/>
      <c r="P325" s="48"/>
      <c r="Q325" s="46"/>
      <c r="R325" s="47"/>
      <c r="S325" s="48"/>
      <c r="T325" s="46"/>
      <c r="U325" s="47"/>
      <c r="V325" s="48"/>
      <c r="W325" s="46" t="s">
        <v>882</v>
      </c>
      <c r="X325" s="47" t="s">
        <v>2599</v>
      </c>
      <c r="Y325" s="48">
        <v>2.2000000000000002</v>
      </c>
      <c r="Z325" s="49" t="s">
        <v>883</v>
      </c>
      <c r="AA325" s="50" t="s">
        <v>884</v>
      </c>
      <c r="AB325" s="51">
        <v>4.4000000000000004</v>
      </c>
    </row>
    <row r="326" spans="1:28" ht="13.5" customHeight="1">
      <c r="A326" s="27"/>
      <c r="B326" s="44"/>
      <c r="C326" s="36"/>
      <c r="D326" s="6"/>
      <c r="E326" s="46"/>
      <c r="F326" s="47"/>
      <c r="G326" s="48"/>
      <c r="H326" s="46"/>
      <c r="I326" s="47"/>
      <c r="J326" s="48"/>
      <c r="K326" s="46"/>
      <c r="L326" s="47"/>
      <c r="M326" s="48"/>
      <c r="N326" s="46"/>
      <c r="O326" s="47"/>
      <c r="P326" s="48"/>
      <c r="Q326" s="46"/>
      <c r="R326" s="47"/>
      <c r="S326" s="48"/>
      <c r="T326" s="46"/>
      <c r="U326" s="47"/>
      <c r="V326" s="48"/>
      <c r="W326" s="46"/>
      <c r="X326" s="47"/>
      <c r="Y326" s="48"/>
      <c r="Z326" s="49"/>
      <c r="AA326" s="50"/>
      <c r="AB326" s="51"/>
    </row>
    <row r="327" spans="1:28" ht="13.5" customHeight="1">
      <c r="A327" s="27"/>
      <c r="B327" s="44"/>
      <c r="C327" s="36"/>
      <c r="D327" s="6"/>
      <c r="E327" s="46"/>
      <c r="F327" s="47"/>
      <c r="G327" s="48"/>
      <c r="H327" s="46"/>
      <c r="I327" s="47"/>
      <c r="J327" s="48"/>
      <c r="K327" s="46"/>
      <c r="L327" s="47"/>
      <c r="M327" s="48"/>
      <c r="N327" s="46"/>
      <c r="O327" s="47"/>
      <c r="P327" s="48"/>
      <c r="Q327" s="46"/>
      <c r="R327" s="47"/>
      <c r="S327" s="48"/>
      <c r="T327" s="46"/>
      <c r="U327" s="47"/>
      <c r="V327" s="48"/>
      <c r="W327" s="46"/>
      <c r="X327" s="47"/>
      <c r="Y327" s="48"/>
      <c r="Z327" s="49"/>
      <c r="AA327" s="50"/>
      <c r="AB327" s="51"/>
    </row>
    <row r="328" spans="1:28" ht="13.5" customHeight="1">
      <c r="A328" s="27"/>
      <c r="B328" s="44"/>
      <c r="C328" s="36"/>
      <c r="D328" s="6"/>
      <c r="E328" s="46"/>
      <c r="F328" s="47"/>
      <c r="G328" s="48"/>
      <c r="H328" s="46"/>
      <c r="I328" s="47"/>
      <c r="J328" s="48"/>
      <c r="K328" s="46"/>
      <c r="L328" s="47"/>
      <c r="M328" s="48"/>
      <c r="N328" s="46"/>
      <c r="O328" s="47"/>
      <c r="P328" s="48"/>
      <c r="Q328" s="46"/>
      <c r="R328" s="47"/>
      <c r="S328" s="48"/>
      <c r="T328" s="46"/>
      <c r="U328" s="47"/>
      <c r="V328" s="48"/>
      <c r="W328" s="46"/>
      <c r="X328" s="47"/>
      <c r="Y328" s="48"/>
      <c r="Z328" s="49"/>
      <c r="AA328" s="50"/>
      <c r="AB328" s="51"/>
    </row>
    <row r="329" spans="1:28" ht="13.5" customHeight="1">
      <c r="A329" s="27"/>
      <c r="B329" s="44"/>
      <c r="C329" s="36"/>
      <c r="D329" s="6"/>
      <c r="E329" s="46"/>
      <c r="F329" s="47"/>
      <c r="G329" s="48"/>
      <c r="H329" s="46"/>
      <c r="I329" s="47"/>
      <c r="J329" s="48"/>
      <c r="K329" s="46"/>
      <c r="L329" s="47"/>
      <c r="M329" s="48"/>
      <c r="N329" s="46"/>
      <c r="O329" s="47"/>
      <c r="P329" s="48"/>
      <c r="Q329" s="46"/>
      <c r="R329" s="47"/>
      <c r="S329" s="48"/>
      <c r="T329" s="46"/>
      <c r="U329" s="47"/>
      <c r="V329" s="48"/>
      <c r="W329" s="46"/>
      <c r="X329" s="47"/>
      <c r="Y329" s="48"/>
      <c r="Z329" s="49"/>
      <c r="AA329" s="50"/>
      <c r="AB329" s="51"/>
    </row>
    <row r="330" spans="1:28" ht="13.5" customHeight="1">
      <c r="A330" s="27"/>
      <c r="B330" s="44"/>
      <c r="C330" s="36"/>
      <c r="D330" s="6"/>
      <c r="E330" s="46"/>
      <c r="F330" s="47"/>
      <c r="G330" s="48"/>
      <c r="H330" s="46"/>
      <c r="I330" s="47"/>
      <c r="J330" s="48"/>
      <c r="K330" s="46"/>
      <c r="L330" s="47"/>
      <c r="M330" s="48"/>
      <c r="N330" s="46"/>
      <c r="O330" s="47"/>
      <c r="P330" s="48"/>
      <c r="Q330" s="46"/>
      <c r="R330" s="47"/>
      <c r="S330" s="48"/>
      <c r="T330" s="46"/>
      <c r="U330" s="47"/>
      <c r="V330" s="48"/>
      <c r="W330" s="46"/>
      <c r="X330" s="47"/>
      <c r="Y330" s="48"/>
      <c r="Z330" s="49"/>
      <c r="AA330" s="50"/>
      <c r="AB330" s="51"/>
    </row>
    <row r="331" spans="1:28" ht="13.5" customHeight="1">
      <c r="A331" s="27"/>
      <c r="B331" s="44"/>
      <c r="C331" s="36"/>
      <c r="D331" s="6"/>
      <c r="E331" s="46"/>
      <c r="F331" s="47"/>
      <c r="G331" s="48"/>
      <c r="H331" s="46"/>
      <c r="I331" s="47"/>
      <c r="J331" s="48"/>
      <c r="K331" s="46"/>
      <c r="L331" s="47"/>
      <c r="M331" s="48"/>
      <c r="N331" s="46"/>
      <c r="O331" s="47"/>
      <c r="P331" s="48"/>
      <c r="Q331" s="46" t="s">
        <v>885</v>
      </c>
      <c r="R331" s="47" t="s">
        <v>886</v>
      </c>
      <c r="S331" s="48">
        <v>0.1</v>
      </c>
      <c r="T331" s="46" t="s">
        <v>885</v>
      </c>
      <c r="U331" s="47" t="s">
        <v>886</v>
      </c>
      <c r="V331" s="48">
        <v>0.1</v>
      </c>
      <c r="W331" s="46"/>
      <c r="X331" s="47"/>
      <c r="Y331" s="48"/>
      <c r="Z331" s="49"/>
      <c r="AA331" s="50"/>
      <c r="AB331" s="51"/>
    </row>
    <row r="332" spans="1:28" ht="13.5" customHeight="1">
      <c r="A332" s="27"/>
      <c r="B332" s="44"/>
      <c r="C332" s="36"/>
      <c r="D332" s="6"/>
      <c r="E332" s="46" t="s">
        <v>874</v>
      </c>
      <c r="F332" s="47" t="s">
        <v>887</v>
      </c>
      <c r="G332" s="48">
        <v>5.9</v>
      </c>
      <c r="H332" s="46" t="s">
        <v>874</v>
      </c>
      <c r="I332" s="47" t="s">
        <v>887</v>
      </c>
      <c r="J332" s="48">
        <v>6.8</v>
      </c>
      <c r="K332" s="46" t="s">
        <v>874</v>
      </c>
      <c r="L332" s="47" t="s">
        <v>887</v>
      </c>
      <c r="M332" s="48">
        <v>5</v>
      </c>
      <c r="N332" s="46" t="s">
        <v>874</v>
      </c>
      <c r="O332" s="47" t="s">
        <v>887</v>
      </c>
      <c r="P332" s="48">
        <v>5.2</v>
      </c>
      <c r="Q332" s="46" t="s">
        <v>888</v>
      </c>
      <c r="R332" s="47" t="s">
        <v>887</v>
      </c>
      <c r="S332" s="48">
        <v>4.4000000000000004</v>
      </c>
      <c r="T332" s="46" t="s">
        <v>888</v>
      </c>
      <c r="U332" s="47" t="s">
        <v>887</v>
      </c>
      <c r="V332" s="48">
        <v>4.0999999999999996</v>
      </c>
      <c r="W332" s="46" t="s">
        <v>889</v>
      </c>
      <c r="X332" s="47" t="s">
        <v>2600</v>
      </c>
      <c r="Y332" s="48">
        <v>3.1</v>
      </c>
      <c r="Z332" s="49" t="s">
        <v>890</v>
      </c>
      <c r="AA332" s="50" t="s">
        <v>891</v>
      </c>
      <c r="AB332" s="51">
        <v>0.9</v>
      </c>
    </row>
    <row r="333" spans="1:28" ht="13.5" customHeight="1">
      <c r="A333" s="27"/>
      <c r="B333" s="44"/>
      <c r="C333" s="36"/>
      <c r="D333" s="6"/>
      <c r="E333" s="46"/>
      <c r="F333" s="47"/>
      <c r="G333" s="48"/>
      <c r="H333" s="46"/>
      <c r="I333" s="47"/>
      <c r="J333" s="48"/>
      <c r="K333" s="46"/>
      <c r="L333" s="47"/>
      <c r="M333" s="48"/>
      <c r="N333" s="46"/>
      <c r="O333" s="47"/>
      <c r="P333" s="48"/>
      <c r="Q333" s="46"/>
      <c r="R333" s="47"/>
      <c r="S333" s="48"/>
      <c r="T333" s="46"/>
      <c r="U333" s="47"/>
      <c r="V333" s="48"/>
      <c r="W333" s="46"/>
      <c r="X333" s="47"/>
      <c r="Y333" s="48"/>
      <c r="Z333" s="49"/>
      <c r="AA333" s="50"/>
      <c r="AB333" s="51"/>
    </row>
    <row r="334" spans="1:28" ht="13.5" customHeight="1">
      <c r="A334" s="27"/>
      <c r="B334" s="44"/>
      <c r="C334" s="36"/>
      <c r="D334" s="6"/>
      <c r="E334" s="46"/>
      <c r="F334" s="47"/>
      <c r="G334" s="48"/>
      <c r="H334" s="46"/>
      <c r="I334" s="47"/>
      <c r="J334" s="48"/>
      <c r="K334" s="46"/>
      <c r="L334" s="47"/>
      <c r="M334" s="48"/>
      <c r="N334" s="46"/>
      <c r="O334" s="47"/>
      <c r="P334" s="48"/>
      <c r="Q334" s="46"/>
      <c r="R334" s="47"/>
      <c r="S334" s="48"/>
      <c r="T334" s="46"/>
      <c r="U334" s="47"/>
      <c r="V334" s="48"/>
      <c r="W334" s="46"/>
      <c r="X334" s="47"/>
      <c r="Y334" s="48"/>
      <c r="Z334" s="252"/>
      <c r="AA334" s="252"/>
      <c r="AB334" s="253"/>
    </row>
    <row r="335" spans="1:28" ht="13.5" customHeight="1">
      <c r="A335" s="27"/>
      <c r="B335" s="44"/>
      <c r="C335" s="36"/>
      <c r="D335" s="6"/>
      <c r="E335" s="46"/>
      <c r="F335" s="47"/>
      <c r="G335" s="48"/>
      <c r="H335" s="46"/>
      <c r="I335" s="47"/>
      <c r="J335" s="48"/>
      <c r="K335" s="46"/>
      <c r="L335" s="47"/>
      <c r="M335" s="48"/>
      <c r="N335" s="46"/>
      <c r="O335" s="47"/>
      <c r="P335" s="48"/>
      <c r="Q335" s="46"/>
      <c r="R335" s="47"/>
      <c r="S335" s="48"/>
      <c r="T335" s="46"/>
      <c r="U335" s="47"/>
      <c r="V335" s="48"/>
      <c r="W335" s="46"/>
      <c r="X335" s="47"/>
      <c r="Y335" s="48"/>
      <c r="Z335" s="49"/>
      <c r="AA335" s="50"/>
      <c r="AB335" s="51"/>
    </row>
    <row r="336" spans="1:28" ht="13.5" customHeight="1">
      <c r="A336" s="27"/>
      <c r="B336" s="44"/>
      <c r="C336" s="36"/>
      <c r="D336" s="6"/>
      <c r="E336" s="46"/>
      <c r="F336" s="47"/>
      <c r="G336" s="48"/>
      <c r="H336" s="46"/>
      <c r="I336" s="47"/>
      <c r="J336" s="48"/>
      <c r="K336" s="46"/>
      <c r="L336" s="47"/>
      <c r="M336" s="48"/>
      <c r="N336" s="46"/>
      <c r="O336" s="47"/>
      <c r="P336" s="48"/>
      <c r="Q336" s="46"/>
      <c r="R336" s="47"/>
      <c r="S336" s="48"/>
      <c r="T336" s="46"/>
      <c r="U336" s="47"/>
      <c r="V336" s="48"/>
      <c r="W336" s="46"/>
      <c r="X336" s="47"/>
      <c r="Y336" s="48"/>
      <c r="Z336" s="49" t="s">
        <v>893</v>
      </c>
      <c r="AA336" s="50" t="s">
        <v>892</v>
      </c>
      <c r="AB336" s="51">
        <v>0.9</v>
      </c>
    </row>
    <row r="337" spans="1:28" ht="13.5" customHeight="1">
      <c r="A337" s="27"/>
      <c r="B337" s="44"/>
      <c r="C337" s="36"/>
      <c r="D337" s="6"/>
      <c r="E337" s="46"/>
      <c r="F337" s="47"/>
      <c r="G337" s="48"/>
      <c r="H337" s="46"/>
      <c r="I337" s="47"/>
      <c r="J337" s="48"/>
      <c r="K337" s="46"/>
      <c r="L337" s="47"/>
      <c r="M337" s="48"/>
      <c r="N337" s="46"/>
      <c r="O337" s="47"/>
      <c r="P337" s="48"/>
      <c r="Q337" s="46"/>
      <c r="R337" s="47"/>
      <c r="S337" s="48"/>
      <c r="T337" s="46"/>
      <c r="U337" s="47"/>
      <c r="V337" s="48"/>
      <c r="W337" s="46"/>
      <c r="X337" s="47"/>
      <c r="Y337" s="48"/>
      <c r="Z337" s="49" t="s">
        <v>894</v>
      </c>
      <c r="AA337" s="50" t="s">
        <v>895</v>
      </c>
      <c r="AB337" s="51">
        <v>0.9</v>
      </c>
    </row>
    <row r="338" spans="1:28" ht="13.5" customHeight="1">
      <c r="A338" s="27"/>
      <c r="B338" s="44"/>
      <c r="C338" s="36"/>
      <c r="D338" s="6"/>
      <c r="E338" s="46"/>
      <c r="F338" s="47"/>
      <c r="G338" s="48"/>
      <c r="H338" s="46"/>
      <c r="I338" s="47"/>
      <c r="J338" s="48"/>
      <c r="K338" s="46"/>
      <c r="L338" s="47"/>
      <c r="M338" s="48"/>
      <c r="N338" s="46"/>
      <c r="O338" s="47"/>
      <c r="P338" s="48"/>
      <c r="Q338" s="46" t="s">
        <v>896</v>
      </c>
      <c r="R338" s="47" t="s">
        <v>897</v>
      </c>
      <c r="S338" s="48">
        <v>0.4</v>
      </c>
      <c r="T338" s="46" t="s">
        <v>896</v>
      </c>
      <c r="U338" s="47" t="s">
        <v>897</v>
      </c>
      <c r="V338" s="48">
        <v>0.4</v>
      </c>
      <c r="W338" s="46" t="s">
        <v>898</v>
      </c>
      <c r="X338" s="47" t="s">
        <v>2601</v>
      </c>
      <c r="Y338" s="48">
        <v>0.4</v>
      </c>
      <c r="Z338" s="49" t="s">
        <v>899</v>
      </c>
      <c r="AA338" s="50" t="s">
        <v>897</v>
      </c>
      <c r="AB338" s="51">
        <v>1.9</v>
      </c>
    </row>
    <row r="339" spans="1:28" ht="13.5" customHeight="1">
      <c r="A339" s="27"/>
      <c r="B339" s="44"/>
      <c r="C339" s="36"/>
      <c r="D339" s="6"/>
      <c r="E339" s="46"/>
      <c r="F339" s="75"/>
      <c r="G339" s="48"/>
      <c r="H339" s="46"/>
      <c r="I339" s="75"/>
      <c r="J339" s="48"/>
      <c r="K339" s="46"/>
      <c r="L339" s="75"/>
      <c r="M339" s="48"/>
      <c r="N339" s="46"/>
      <c r="O339" s="75"/>
      <c r="P339" s="48"/>
      <c r="Q339" s="76" t="s">
        <v>900</v>
      </c>
      <c r="R339" s="75" t="s">
        <v>901</v>
      </c>
      <c r="S339" s="77">
        <v>0.4</v>
      </c>
      <c r="T339" s="76" t="s">
        <v>900</v>
      </c>
      <c r="U339" s="75" t="s">
        <v>901</v>
      </c>
      <c r="V339" s="77">
        <v>0.4</v>
      </c>
      <c r="W339" s="76" t="s">
        <v>902</v>
      </c>
      <c r="X339" s="75" t="s">
        <v>2602</v>
      </c>
      <c r="Y339" s="77">
        <v>0.4</v>
      </c>
      <c r="Z339" s="78" t="s">
        <v>903</v>
      </c>
      <c r="AA339" s="79" t="s">
        <v>901</v>
      </c>
      <c r="AB339" s="80">
        <v>1.9</v>
      </c>
    </row>
    <row r="340" spans="1:28" ht="13.5" customHeight="1">
      <c r="A340" s="27"/>
      <c r="B340" s="28" t="s">
        <v>904</v>
      </c>
      <c r="C340" s="86"/>
      <c r="D340" s="30" t="s">
        <v>905</v>
      </c>
      <c r="E340" s="31" t="s">
        <v>906</v>
      </c>
      <c r="F340" s="63"/>
      <c r="G340" s="33">
        <f>SUM(G341,G344)</f>
        <v>30.6</v>
      </c>
      <c r="H340" s="31" t="s">
        <v>906</v>
      </c>
      <c r="I340" s="63"/>
      <c r="J340" s="33">
        <f>SUM(J341,J344)</f>
        <v>30.4</v>
      </c>
      <c r="K340" s="31" t="s">
        <v>906</v>
      </c>
      <c r="L340" s="63"/>
      <c r="M340" s="33">
        <f>SUM(M341,M344)</f>
        <v>28</v>
      </c>
      <c r="N340" s="31" t="s">
        <v>906</v>
      </c>
      <c r="O340" s="63"/>
      <c r="P340" s="33">
        <f>SUM(P341,P344)</f>
        <v>27.6</v>
      </c>
      <c r="Q340" s="31" t="s">
        <v>906</v>
      </c>
      <c r="R340" s="63"/>
      <c r="S340" s="33">
        <f>SUM(S341,S344)</f>
        <v>24.6</v>
      </c>
      <c r="T340" s="31" t="s">
        <v>906</v>
      </c>
      <c r="U340" s="63"/>
      <c r="V340" s="33">
        <f>SUM(V341,V344)</f>
        <v>23.2</v>
      </c>
      <c r="W340" s="62"/>
      <c r="X340" s="63"/>
      <c r="Y340" s="33">
        <f>SUM(Y341,Y344)</f>
        <v>22.400000000000002</v>
      </c>
      <c r="Z340" s="65"/>
      <c r="AA340" s="66"/>
      <c r="AB340" s="33">
        <f>SUM(AB341,AB344)</f>
        <v>16</v>
      </c>
    </row>
    <row r="341" spans="1:28" ht="13.5" customHeight="1">
      <c r="A341" s="27"/>
      <c r="B341" s="36"/>
      <c r="C341" s="136" t="s">
        <v>907</v>
      </c>
      <c r="D341" s="137" t="s">
        <v>908</v>
      </c>
      <c r="E341" s="37" t="s">
        <v>909</v>
      </c>
      <c r="F341" s="71"/>
      <c r="G341" s="39">
        <f>SUM(G342:G343)</f>
        <v>7.6</v>
      </c>
      <c r="H341" s="37" t="s">
        <v>909</v>
      </c>
      <c r="I341" s="71"/>
      <c r="J341" s="39">
        <f>SUM(J342:J343)</f>
        <v>7.9</v>
      </c>
      <c r="K341" s="37" t="s">
        <v>909</v>
      </c>
      <c r="L341" s="71"/>
      <c r="M341" s="39">
        <f>SUM(M342:M343)</f>
        <v>7.7</v>
      </c>
      <c r="N341" s="37" t="s">
        <v>909</v>
      </c>
      <c r="O341" s="71"/>
      <c r="P341" s="39">
        <f>SUM(P342:P343)</f>
        <v>8</v>
      </c>
      <c r="Q341" s="37" t="s">
        <v>909</v>
      </c>
      <c r="R341" s="71"/>
      <c r="S341" s="39">
        <f>SUM(S342:S343)</f>
        <v>7.8000000000000007</v>
      </c>
      <c r="T341" s="37" t="s">
        <v>909</v>
      </c>
      <c r="U341" s="71"/>
      <c r="V341" s="39">
        <f>SUM(V342:V343)</f>
        <v>7.8</v>
      </c>
      <c r="W341" s="72"/>
      <c r="X341" s="71"/>
      <c r="Y341" s="39">
        <f>SUM(Y342:Y343)</f>
        <v>7.8</v>
      </c>
      <c r="Z341" s="73"/>
      <c r="AA341" s="74"/>
      <c r="AB341" s="39">
        <f>SUM(AB342:AB343)</f>
        <v>7</v>
      </c>
    </row>
    <row r="342" spans="1:28" ht="13.5" customHeight="1">
      <c r="A342" s="27"/>
      <c r="B342" s="138"/>
      <c r="C342" s="21"/>
      <c r="D342" s="45"/>
      <c r="E342" s="46" t="s">
        <v>911</v>
      </c>
      <c r="F342" s="47" t="s">
        <v>910</v>
      </c>
      <c r="G342" s="48">
        <v>4.5</v>
      </c>
      <c r="H342" s="46" t="s">
        <v>911</v>
      </c>
      <c r="I342" s="47" t="s">
        <v>910</v>
      </c>
      <c r="J342" s="48">
        <v>4.8</v>
      </c>
      <c r="K342" s="46" t="s">
        <v>911</v>
      </c>
      <c r="L342" s="47" t="s">
        <v>910</v>
      </c>
      <c r="M342" s="48">
        <v>4.9000000000000004</v>
      </c>
      <c r="N342" s="46" t="s">
        <v>911</v>
      </c>
      <c r="O342" s="47" t="s">
        <v>910</v>
      </c>
      <c r="P342" s="48">
        <v>5.5</v>
      </c>
      <c r="Q342" s="46" t="s">
        <v>911</v>
      </c>
      <c r="R342" s="47" t="s">
        <v>910</v>
      </c>
      <c r="S342" s="48">
        <v>5.7</v>
      </c>
      <c r="T342" s="46" t="s">
        <v>911</v>
      </c>
      <c r="U342" s="47" t="s">
        <v>910</v>
      </c>
      <c r="V342" s="48">
        <v>5.8</v>
      </c>
      <c r="W342" s="46" t="s">
        <v>912</v>
      </c>
      <c r="X342" s="47" t="s">
        <v>2603</v>
      </c>
      <c r="Y342" s="48">
        <v>6</v>
      </c>
      <c r="Z342" s="49" t="s">
        <v>832</v>
      </c>
      <c r="AA342" s="50" t="s">
        <v>910</v>
      </c>
      <c r="AB342" s="51">
        <v>5.6</v>
      </c>
    </row>
    <row r="343" spans="1:28" ht="13.5" customHeight="1">
      <c r="A343" s="27"/>
      <c r="B343" s="44"/>
      <c r="C343" s="36"/>
      <c r="D343" s="6"/>
      <c r="E343" s="46" t="s">
        <v>914</v>
      </c>
      <c r="F343" s="56" t="s">
        <v>913</v>
      </c>
      <c r="G343" s="48">
        <v>3.1</v>
      </c>
      <c r="H343" s="46" t="s">
        <v>914</v>
      </c>
      <c r="I343" s="56" t="s">
        <v>913</v>
      </c>
      <c r="J343" s="48">
        <v>3.1</v>
      </c>
      <c r="K343" s="46" t="s">
        <v>914</v>
      </c>
      <c r="L343" s="56" t="s">
        <v>913</v>
      </c>
      <c r="M343" s="48">
        <v>2.8</v>
      </c>
      <c r="N343" s="46" t="s">
        <v>914</v>
      </c>
      <c r="O343" s="56" t="s">
        <v>913</v>
      </c>
      <c r="P343" s="48">
        <v>2.5</v>
      </c>
      <c r="Q343" s="57" t="s">
        <v>914</v>
      </c>
      <c r="R343" s="56" t="s">
        <v>913</v>
      </c>
      <c r="S343" s="58">
        <v>2.1</v>
      </c>
      <c r="T343" s="57" t="s">
        <v>914</v>
      </c>
      <c r="U343" s="56" t="s">
        <v>913</v>
      </c>
      <c r="V343" s="58">
        <v>2</v>
      </c>
      <c r="W343" s="57" t="s">
        <v>915</v>
      </c>
      <c r="X343" s="56" t="s">
        <v>2604</v>
      </c>
      <c r="Y343" s="58">
        <v>1.8</v>
      </c>
      <c r="Z343" s="59" t="s">
        <v>836</v>
      </c>
      <c r="AA343" s="60" t="s">
        <v>913</v>
      </c>
      <c r="AB343" s="61">
        <v>1.4</v>
      </c>
    </row>
    <row r="344" spans="1:28" ht="13.5" customHeight="1">
      <c r="A344" s="27"/>
      <c r="B344" s="44"/>
      <c r="C344" s="28" t="s">
        <v>916</v>
      </c>
      <c r="D344" s="30" t="s">
        <v>917</v>
      </c>
      <c r="E344" s="37" t="s">
        <v>918</v>
      </c>
      <c r="F344" s="71"/>
      <c r="G344" s="39">
        <f>SUM(G345:G348)</f>
        <v>23</v>
      </c>
      <c r="H344" s="37" t="s">
        <v>918</v>
      </c>
      <c r="I344" s="71"/>
      <c r="J344" s="39">
        <f>SUM(J345:J348)</f>
        <v>22.5</v>
      </c>
      <c r="K344" s="37" t="s">
        <v>918</v>
      </c>
      <c r="L344" s="71"/>
      <c r="M344" s="39">
        <f>SUM(M345:M348)</f>
        <v>20.3</v>
      </c>
      <c r="N344" s="37" t="s">
        <v>918</v>
      </c>
      <c r="O344" s="71"/>
      <c r="P344" s="39">
        <f>SUM(P345:P348)</f>
        <v>19.600000000000001</v>
      </c>
      <c r="Q344" s="37" t="s">
        <v>918</v>
      </c>
      <c r="R344" s="71"/>
      <c r="S344" s="39">
        <f>SUM(S345:S348)</f>
        <v>16.8</v>
      </c>
      <c r="T344" s="37" t="s">
        <v>918</v>
      </c>
      <c r="U344" s="71"/>
      <c r="V344" s="39">
        <f>SUM(V345:V348)</f>
        <v>15.4</v>
      </c>
      <c r="W344" s="72"/>
      <c r="X344" s="71"/>
      <c r="Y344" s="39">
        <f>SUM(Y345:Y348)</f>
        <v>14.600000000000001</v>
      </c>
      <c r="Z344" s="42"/>
      <c r="AA344" s="43"/>
      <c r="AB344" s="39">
        <f>SUM(AB345:AB348)</f>
        <v>9</v>
      </c>
    </row>
    <row r="345" spans="1:28" ht="13.5" customHeight="1">
      <c r="A345" s="27"/>
      <c r="B345" s="44"/>
      <c r="C345" s="139"/>
      <c r="D345" s="252"/>
      <c r="E345" s="46" t="s">
        <v>920</v>
      </c>
      <c r="F345" s="63" t="s">
        <v>919</v>
      </c>
      <c r="G345" s="48">
        <v>0.7</v>
      </c>
      <c r="H345" s="46" t="s">
        <v>920</v>
      </c>
      <c r="I345" s="63" t="s">
        <v>919</v>
      </c>
      <c r="J345" s="48">
        <v>0.9</v>
      </c>
      <c r="K345" s="46" t="s">
        <v>920</v>
      </c>
      <c r="L345" s="63" t="s">
        <v>919</v>
      </c>
      <c r="M345" s="48">
        <v>0.7</v>
      </c>
      <c r="N345" s="46" t="s">
        <v>920</v>
      </c>
      <c r="O345" s="63" t="s">
        <v>919</v>
      </c>
      <c r="P345" s="48">
        <v>0.6</v>
      </c>
      <c r="Q345" s="62" t="s">
        <v>920</v>
      </c>
      <c r="R345" s="63" t="s">
        <v>919</v>
      </c>
      <c r="S345" s="64">
        <v>0.6</v>
      </c>
      <c r="T345" s="62" t="s">
        <v>920</v>
      </c>
      <c r="U345" s="63" t="s">
        <v>919</v>
      </c>
      <c r="V345" s="64">
        <v>0.7</v>
      </c>
      <c r="W345" s="62" t="s">
        <v>921</v>
      </c>
      <c r="X345" s="63" t="s">
        <v>2605</v>
      </c>
      <c r="Y345" s="64">
        <v>1.7</v>
      </c>
      <c r="Z345" s="65" t="s">
        <v>922</v>
      </c>
      <c r="AA345" s="66" t="s">
        <v>919</v>
      </c>
      <c r="AB345" s="67">
        <v>0.7</v>
      </c>
    </row>
    <row r="346" spans="1:28" ht="13.5" customHeight="1">
      <c r="A346" s="27"/>
      <c r="B346" s="44"/>
      <c r="C346" s="44"/>
      <c r="D346" s="6"/>
      <c r="E346" s="46" t="s">
        <v>924</v>
      </c>
      <c r="F346" s="47" t="s">
        <v>923</v>
      </c>
      <c r="G346" s="48">
        <v>0.5</v>
      </c>
      <c r="H346" s="46" t="s">
        <v>924</v>
      </c>
      <c r="I346" s="47" t="s">
        <v>923</v>
      </c>
      <c r="J346" s="48">
        <v>0.6</v>
      </c>
      <c r="K346" s="46" t="s">
        <v>924</v>
      </c>
      <c r="L346" s="47" t="s">
        <v>923</v>
      </c>
      <c r="M346" s="48">
        <v>0.6</v>
      </c>
      <c r="N346" s="46" t="s">
        <v>924</v>
      </c>
      <c r="O346" s="47" t="s">
        <v>923</v>
      </c>
      <c r="P346" s="48">
        <v>0.4</v>
      </c>
      <c r="Q346" s="46" t="s">
        <v>924</v>
      </c>
      <c r="R346" s="47" t="s">
        <v>923</v>
      </c>
      <c r="S346" s="48">
        <v>0.3</v>
      </c>
      <c r="T346" s="46" t="s">
        <v>924</v>
      </c>
      <c r="U346" s="47" t="s">
        <v>923</v>
      </c>
      <c r="V346" s="48">
        <v>0.3</v>
      </c>
      <c r="W346" s="46" t="s">
        <v>925</v>
      </c>
      <c r="X346" s="47" t="s">
        <v>2606</v>
      </c>
      <c r="Y346" s="48">
        <v>0.5</v>
      </c>
      <c r="Z346" s="49" t="s">
        <v>926</v>
      </c>
      <c r="AA346" s="50" t="s">
        <v>923</v>
      </c>
      <c r="AB346" s="51">
        <v>0.3</v>
      </c>
    </row>
    <row r="347" spans="1:28" ht="13.5" customHeight="1">
      <c r="A347" s="27"/>
      <c r="B347" s="44"/>
      <c r="C347" s="36"/>
      <c r="D347" s="6"/>
      <c r="E347" s="46"/>
      <c r="F347" s="47"/>
      <c r="G347" s="48"/>
      <c r="H347" s="46"/>
      <c r="I347" s="47"/>
      <c r="J347" s="48"/>
      <c r="K347" s="46"/>
      <c r="L347" s="47"/>
      <c r="M347" s="48"/>
      <c r="N347" s="46"/>
      <c r="O347" s="47"/>
      <c r="P347" s="48"/>
      <c r="Q347" s="46"/>
      <c r="R347" s="47"/>
      <c r="S347" s="48"/>
      <c r="T347" s="46"/>
      <c r="U347" s="47"/>
      <c r="V347" s="48"/>
      <c r="W347" s="46"/>
      <c r="X347" s="47"/>
      <c r="Y347" s="48"/>
      <c r="Z347" s="49"/>
      <c r="AA347" s="50"/>
      <c r="AB347" s="51"/>
    </row>
    <row r="348" spans="1:28" ht="13.5" customHeight="1">
      <c r="A348" s="27"/>
      <c r="B348" s="114"/>
      <c r="C348" s="114"/>
      <c r="D348" s="140"/>
      <c r="E348" s="46" t="s">
        <v>928</v>
      </c>
      <c r="F348" s="75" t="s">
        <v>927</v>
      </c>
      <c r="G348" s="48">
        <v>21.8</v>
      </c>
      <c r="H348" s="46" t="s">
        <v>928</v>
      </c>
      <c r="I348" s="75" t="s">
        <v>927</v>
      </c>
      <c r="J348" s="48">
        <v>21</v>
      </c>
      <c r="K348" s="46" t="s">
        <v>928</v>
      </c>
      <c r="L348" s="75" t="s">
        <v>927</v>
      </c>
      <c r="M348" s="48">
        <v>19</v>
      </c>
      <c r="N348" s="46" t="s">
        <v>928</v>
      </c>
      <c r="O348" s="75" t="s">
        <v>927</v>
      </c>
      <c r="P348" s="48">
        <v>18.600000000000001</v>
      </c>
      <c r="Q348" s="76" t="s">
        <v>928</v>
      </c>
      <c r="R348" s="75" t="s">
        <v>927</v>
      </c>
      <c r="S348" s="77">
        <v>15.9</v>
      </c>
      <c r="T348" s="76" t="s">
        <v>928</v>
      </c>
      <c r="U348" s="75" t="s">
        <v>927</v>
      </c>
      <c r="V348" s="77">
        <v>14.4</v>
      </c>
      <c r="W348" s="76" t="s">
        <v>929</v>
      </c>
      <c r="X348" s="75" t="s">
        <v>2607</v>
      </c>
      <c r="Y348" s="77">
        <v>12.4</v>
      </c>
      <c r="Z348" s="78" t="s">
        <v>930</v>
      </c>
      <c r="AA348" s="79" t="s">
        <v>927</v>
      </c>
      <c r="AB348" s="80">
        <v>8</v>
      </c>
    </row>
    <row r="349" spans="1:28" ht="13.5" customHeight="1">
      <c r="A349" s="27"/>
      <c r="B349" s="141" t="s">
        <v>931</v>
      </c>
      <c r="C349" s="21"/>
      <c r="D349" s="6" t="s">
        <v>932</v>
      </c>
      <c r="E349" s="31" t="s">
        <v>933</v>
      </c>
      <c r="F349" s="88"/>
      <c r="G349" s="33">
        <f>SUM(G350,G352,G355)</f>
        <v>32.6</v>
      </c>
      <c r="H349" s="31" t="s">
        <v>933</v>
      </c>
      <c r="I349" s="88"/>
      <c r="J349" s="33">
        <f>SUM(J350,J352,J355)</f>
        <v>32.700000000000003</v>
      </c>
      <c r="K349" s="31" t="s">
        <v>933</v>
      </c>
      <c r="L349" s="88"/>
      <c r="M349" s="33">
        <f>SUM(M350,M352,M355)</f>
        <v>36</v>
      </c>
      <c r="N349" s="31" t="s">
        <v>933</v>
      </c>
      <c r="O349" s="88"/>
      <c r="P349" s="33">
        <f>SUM(P350,P352,P355)</f>
        <v>41.7</v>
      </c>
      <c r="Q349" s="31" t="s">
        <v>933</v>
      </c>
      <c r="R349" s="88"/>
      <c r="S349" s="33">
        <f>SUM(S350,S352,S355)</f>
        <v>48</v>
      </c>
      <c r="T349" s="31" t="s">
        <v>933</v>
      </c>
      <c r="U349" s="88"/>
      <c r="V349" s="33">
        <f>SUM(V350,V352,V355)</f>
        <v>47.5</v>
      </c>
      <c r="W349" s="96"/>
      <c r="X349" s="88"/>
      <c r="Y349" s="33">
        <f>SUM(Y350,Y352,Y355)</f>
        <v>43.7</v>
      </c>
      <c r="Z349" s="90"/>
      <c r="AA349" s="91"/>
      <c r="AB349" s="33">
        <f>SUM(AB350,AB352,AB355)</f>
        <v>51</v>
      </c>
    </row>
    <row r="350" spans="1:28" ht="13.5" customHeight="1">
      <c r="A350" s="27"/>
      <c r="B350" s="36"/>
      <c r="C350" s="28" t="s">
        <v>934</v>
      </c>
      <c r="D350" s="30" t="s">
        <v>935</v>
      </c>
      <c r="E350" s="246" t="s">
        <v>936</v>
      </c>
      <c r="F350" s="88"/>
      <c r="G350" s="89">
        <f>SUM(G351)</f>
        <v>16.100000000000001</v>
      </c>
      <c r="H350" s="246" t="s">
        <v>936</v>
      </c>
      <c r="I350" s="88"/>
      <c r="J350" s="89">
        <f>SUM(J351)</f>
        <v>15.5</v>
      </c>
      <c r="K350" s="246" t="s">
        <v>936</v>
      </c>
      <c r="L350" s="88"/>
      <c r="M350" s="89">
        <f>SUM(M351)</f>
        <v>17</v>
      </c>
      <c r="N350" s="246" t="s">
        <v>936</v>
      </c>
      <c r="O350" s="88"/>
      <c r="P350" s="89">
        <f>SUM(P351)</f>
        <v>18.899999999999999</v>
      </c>
      <c r="Q350" s="37" t="s">
        <v>936</v>
      </c>
      <c r="R350" s="88"/>
      <c r="S350" s="89">
        <f>SUM(S351)</f>
        <v>20.5</v>
      </c>
      <c r="T350" s="37" t="s">
        <v>936</v>
      </c>
      <c r="U350" s="88"/>
      <c r="V350" s="89">
        <f>SUM(V351)</f>
        <v>20.8</v>
      </c>
      <c r="W350" s="96"/>
      <c r="X350" s="88"/>
      <c r="Y350" s="89">
        <f>SUM(Y351)</f>
        <v>19</v>
      </c>
      <c r="Z350" s="142"/>
      <c r="AA350" s="143"/>
      <c r="AB350" s="89">
        <f>SUM(AB351)</f>
        <v>18</v>
      </c>
    </row>
    <row r="351" spans="1:28" ht="13.5" customHeight="1">
      <c r="A351" s="27"/>
      <c r="B351" s="144"/>
      <c r="C351" s="114"/>
      <c r="D351" s="45"/>
      <c r="E351" s="87" t="s">
        <v>938</v>
      </c>
      <c r="F351" s="75" t="s">
        <v>937</v>
      </c>
      <c r="G351" s="48">
        <v>16.100000000000001</v>
      </c>
      <c r="H351" s="87" t="s">
        <v>938</v>
      </c>
      <c r="I351" s="75" t="s">
        <v>937</v>
      </c>
      <c r="J351" s="48">
        <v>15.5</v>
      </c>
      <c r="K351" s="87" t="s">
        <v>938</v>
      </c>
      <c r="L351" s="75" t="s">
        <v>937</v>
      </c>
      <c r="M351" s="48">
        <v>17</v>
      </c>
      <c r="N351" s="87" t="s">
        <v>938</v>
      </c>
      <c r="O351" s="75" t="s">
        <v>937</v>
      </c>
      <c r="P351" s="48">
        <v>18.899999999999999</v>
      </c>
      <c r="Q351" s="76" t="s">
        <v>938</v>
      </c>
      <c r="R351" s="75" t="s">
        <v>937</v>
      </c>
      <c r="S351" s="77">
        <v>20.5</v>
      </c>
      <c r="T351" s="76" t="s">
        <v>938</v>
      </c>
      <c r="U351" s="75" t="s">
        <v>937</v>
      </c>
      <c r="V351" s="77">
        <v>20.8</v>
      </c>
      <c r="W351" s="76" t="s">
        <v>939</v>
      </c>
      <c r="X351" s="75" t="s">
        <v>2608</v>
      </c>
      <c r="Y351" s="77">
        <v>19</v>
      </c>
      <c r="Z351" s="78" t="s">
        <v>650</v>
      </c>
      <c r="AA351" s="79" t="s">
        <v>937</v>
      </c>
      <c r="AB351" s="80">
        <v>18</v>
      </c>
    </row>
    <row r="352" spans="1:28" ht="13.5" customHeight="1">
      <c r="A352" s="27"/>
      <c r="B352" s="105"/>
      <c r="C352" s="28" t="s">
        <v>940</v>
      </c>
      <c r="D352" s="30" t="s">
        <v>941</v>
      </c>
      <c r="E352" s="37" t="s">
        <v>942</v>
      </c>
      <c r="F352" s="71"/>
      <c r="G352" s="39">
        <f>SUM(G353:G354)</f>
        <v>12.4</v>
      </c>
      <c r="H352" s="37" t="s">
        <v>942</v>
      </c>
      <c r="I352" s="71"/>
      <c r="J352" s="39">
        <f>SUM(J353:J354)</f>
        <v>13.6</v>
      </c>
      <c r="K352" s="37" t="s">
        <v>942</v>
      </c>
      <c r="L352" s="71"/>
      <c r="M352" s="39">
        <f>SUM(M353:M354)</f>
        <v>15.700000000000001</v>
      </c>
      <c r="N352" s="37" t="s">
        <v>942</v>
      </c>
      <c r="O352" s="71"/>
      <c r="P352" s="39">
        <f>SUM(P353:P354)</f>
        <v>19.3</v>
      </c>
      <c r="Q352" s="37" t="s">
        <v>942</v>
      </c>
      <c r="R352" s="71"/>
      <c r="S352" s="39">
        <f>SUM(S353:S354)</f>
        <v>22.3</v>
      </c>
      <c r="T352" s="37" t="s">
        <v>942</v>
      </c>
      <c r="U352" s="71"/>
      <c r="V352" s="39">
        <f>SUM(V353:V354)</f>
        <v>21.3</v>
      </c>
      <c r="W352" s="72"/>
      <c r="X352" s="71"/>
      <c r="Y352" s="39">
        <f>SUM(Y353:Y354)</f>
        <v>17.400000000000002</v>
      </c>
      <c r="Z352" s="73"/>
      <c r="AA352" s="74"/>
      <c r="AB352" s="39">
        <f>SUM(AB353:AB354)</f>
        <v>20.3</v>
      </c>
    </row>
    <row r="353" spans="1:28" ht="13.5" customHeight="1">
      <c r="A353" s="27"/>
      <c r="B353" s="44"/>
      <c r="C353" s="36"/>
      <c r="D353" s="6"/>
      <c r="E353" s="46" t="s">
        <v>944</v>
      </c>
      <c r="F353" s="47" t="s">
        <v>943</v>
      </c>
      <c r="G353" s="48">
        <v>11.5</v>
      </c>
      <c r="H353" s="46" t="s">
        <v>944</v>
      </c>
      <c r="I353" s="47" t="s">
        <v>943</v>
      </c>
      <c r="J353" s="48">
        <v>12.7</v>
      </c>
      <c r="K353" s="46" t="s">
        <v>944</v>
      </c>
      <c r="L353" s="47" t="s">
        <v>943</v>
      </c>
      <c r="M353" s="48">
        <v>14.8</v>
      </c>
      <c r="N353" s="46" t="s">
        <v>944</v>
      </c>
      <c r="O353" s="47" t="s">
        <v>943</v>
      </c>
      <c r="P353" s="48">
        <v>18.3</v>
      </c>
      <c r="Q353" s="46" t="s">
        <v>944</v>
      </c>
      <c r="R353" s="47" t="s">
        <v>943</v>
      </c>
      <c r="S353" s="48">
        <v>20.6</v>
      </c>
      <c r="T353" s="46" t="s">
        <v>944</v>
      </c>
      <c r="U353" s="47" t="s">
        <v>943</v>
      </c>
      <c r="V353" s="48">
        <v>19.600000000000001</v>
      </c>
      <c r="W353" s="46" t="s">
        <v>945</v>
      </c>
      <c r="X353" s="47" t="s">
        <v>2609</v>
      </c>
      <c r="Y353" s="48">
        <v>16.100000000000001</v>
      </c>
      <c r="Z353" s="49" t="s">
        <v>946</v>
      </c>
      <c r="AA353" s="50" t="s">
        <v>943</v>
      </c>
      <c r="AB353" s="51">
        <v>18.600000000000001</v>
      </c>
    </row>
    <row r="354" spans="1:28" ht="13.5" customHeight="1">
      <c r="A354" s="27"/>
      <c r="B354" s="44"/>
      <c r="C354" s="36"/>
      <c r="D354" s="6"/>
      <c r="E354" s="46" t="s">
        <v>947</v>
      </c>
      <c r="F354" s="47" t="s">
        <v>2610</v>
      </c>
      <c r="G354" s="48">
        <v>0.9</v>
      </c>
      <c r="H354" s="46" t="s">
        <v>947</v>
      </c>
      <c r="I354" s="47" t="s">
        <v>2610</v>
      </c>
      <c r="J354" s="48">
        <v>0.9</v>
      </c>
      <c r="K354" s="46" t="s">
        <v>947</v>
      </c>
      <c r="L354" s="47" t="s">
        <v>2610</v>
      </c>
      <c r="M354" s="48">
        <v>0.9</v>
      </c>
      <c r="N354" s="46" t="s">
        <v>947</v>
      </c>
      <c r="O354" s="47" t="s">
        <v>2610</v>
      </c>
      <c r="P354" s="48">
        <v>1</v>
      </c>
      <c r="Q354" s="46" t="s">
        <v>947</v>
      </c>
      <c r="R354" s="47" t="s">
        <v>948</v>
      </c>
      <c r="S354" s="48">
        <v>1.7</v>
      </c>
      <c r="T354" s="46" t="s">
        <v>947</v>
      </c>
      <c r="U354" s="47" t="s">
        <v>948</v>
      </c>
      <c r="V354" s="48">
        <v>1.7</v>
      </c>
      <c r="W354" s="46" t="s">
        <v>949</v>
      </c>
      <c r="X354" s="47" t="s">
        <v>2611</v>
      </c>
      <c r="Y354" s="48">
        <v>1.3</v>
      </c>
      <c r="Z354" s="49" t="s">
        <v>950</v>
      </c>
      <c r="AA354" s="50" t="s">
        <v>948</v>
      </c>
      <c r="AB354" s="51">
        <v>1.7</v>
      </c>
    </row>
    <row r="355" spans="1:28" ht="13.5" customHeight="1">
      <c r="A355" s="27"/>
      <c r="B355" s="44"/>
      <c r="C355" s="28" t="s">
        <v>951</v>
      </c>
      <c r="D355" s="30" t="s">
        <v>952</v>
      </c>
      <c r="E355" s="37" t="s">
        <v>953</v>
      </c>
      <c r="F355" s="71"/>
      <c r="G355" s="39">
        <f>SUM(G356:G360)</f>
        <v>4.0999999999999996</v>
      </c>
      <c r="H355" s="37" t="s">
        <v>953</v>
      </c>
      <c r="I355" s="71"/>
      <c r="J355" s="39">
        <f>SUM(J356:J360)</f>
        <v>3.6</v>
      </c>
      <c r="K355" s="37" t="s">
        <v>953</v>
      </c>
      <c r="L355" s="71"/>
      <c r="M355" s="39">
        <f>SUM(M356:M360)</f>
        <v>3.3000000000000003</v>
      </c>
      <c r="N355" s="37" t="s">
        <v>953</v>
      </c>
      <c r="O355" s="71"/>
      <c r="P355" s="39">
        <f>SUM(P356:P360)</f>
        <v>3.5</v>
      </c>
      <c r="Q355" s="37" t="s">
        <v>953</v>
      </c>
      <c r="R355" s="71"/>
      <c r="S355" s="39">
        <f>SUM(S356:S360)</f>
        <v>5.2000000000000011</v>
      </c>
      <c r="T355" s="37" t="s">
        <v>953</v>
      </c>
      <c r="U355" s="71"/>
      <c r="V355" s="39">
        <f>SUM(V356:V360)</f>
        <v>5.4</v>
      </c>
      <c r="W355" s="72"/>
      <c r="X355" s="71"/>
      <c r="Y355" s="39">
        <f>SUM(Y356:Y360)</f>
        <v>7.3000000000000007</v>
      </c>
      <c r="Z355" s="73"/>
      <c r="AA355" s="74"/>
      <c r="AB355" s="39">
        <f>SUM(AB356:AB360)</f>
        <v>12.7</v>
      </c>
    </row>
    <row r="356" spans="1:28" ht="13.5" customHeight="1">
      <c r="A356" s="27"/>
      <c r="B356" s="44"/>
      <c r="C356" s="44"/>
      <c r="D356" s="45"/>
      <c r="E356" s="46" t="s">
        <v>955</v>
      </c>
      <c r="F356" s="47" t="s">
        <v>954</v>
      </c>
      <c r="G356" s="48">
        <v>2.4</v>
      </c>
      <c r="H356" s="46" t="s">
        <v>955</v>
      </c>
      <c r="I356" s="47" t="s">
        <v>954</v>
      </c>
      <c r="J356" s="48">
        <v>2.1</v>
      </c>
      <c r="K356" s="46" t="s">
        <v>955</v>
      </c>
      <c r="L356" s="47" t="s">
        <v>954</v>
      </c>
      <c r="M356" s="48">
        <v>1.5</v>
      </c>
      <c r="N356" s="46" t="s">
        <v>955</v>
      </c>
      <c r="O356" s="47" t="s">
        <v>954</v>
      </c>
      <c r="P356" s="48">
        <v>1.6</v>
      </c>
      <c r="Q356" s="46" t="s">
        <v>955</v>
      </c>
      <c r="R356" s="47" t="s">
        <v>954</v>
      </c>
      <c r="S356" s="48">
        <v>2.7</v>
      </c>
      <c r="T356" s="46" t="s">
        <v>955</v>
      </c>
      <c r="U356" s="47" t="s">
        <v>954</v>
      </c>
      <c r="V356" s="48">
        <v>2.9</v>
      </c>
      <c r="W356" s="46" t="s">
        <v>956</v>
      </c>
      <c r="X356" s="47" t="s">
        <v>2612</v>
      </c>
      <c r="Y356" s="48">
        <v>5.4</v>
      </c>
      <c r="Z356" s="49" t="s">
        <v>957</v>
      </c>
      <c r="AA356" s="50" t="s">
        <v>954</v>
      </c>
      <c r="AB356" s="51">
        <v>12.4</v>
      </c>
    </row>
    <row r="357" spans="1:28" ht="13.5" customHeight="1">
      <c r="A357" s="27"/>
      <c r="B357" s="44"/>
      <c r="C357" s="36"/>
      <c r="D357" s="6"/>
      <c r="E357" s="46"/>
      <c r="F357" s="47"/>
      <c r="G357" s="48"/>
      <c r="H357" s="46"/>
      <c r="I357" s="47"/>
      <c r="J357" s="48"/>
      <c r="K357" s="46" t="s">
        <v>959</v>
      </c>
      <c r="L357" s="47" t="s">
        <v>958</v>
      </c>
      <c r="M357" s="48">
        <v>0.1</v>
      </c>
      <c r="N357" s="46" t="s">
        <v>959</v>
      </c>
      <c r="O357" s="47" t="s">
        <v>958</v>
      </c>
      <c r="P357" s="48">
        <v>0.1</v>
      </c>
      <c r="Q357" s="46" t="s">
        <v>959</v>
      </c>
      <c r="R357" s="47" t="s">
        <v>958</v>
      </c>
      <c r="S357" s="48">
        <v>0.2</v>
      </c>
      <c r="T357" s="46" t="s">
        <v>959</v>
      </c>
      <c r="U357" s="47" t="s">
        <v>958</v>
      </c>
      <c r="V357" s="48">
        <v>0.3</v>
      </c>
      <c r="W357" s="46" t="s">
        <v>960</v>
      </c>
      <c r="X357" s="47" t="s">
        <v>2613</v>
      </c>
      <c r="Y357" s="48">
        <v>0.1</v>
      </c>
      <c r="Z357" s="49" t="s">
        <v>961</v>
      </c>
      <c r="AA357" s="50" t="s">
        <v>958</v>
      </c>
      <c r="AB357" s="51">
        <v>0.1</v>
      </c>
    </row>
    <row r="358" spans="1:28" ht="13.5" customHeight="1">
      <c r="A358" s="27"/>
      <c r="B358" s="44"/>
      <c r="C358" s="36"/>
      <c r="D358" s="6"/>
      <c r="E358" s="46"/>
      <c r="F358" s="47"/>
      <c r="G358" s="48"/>
      <c r="H358" s="46"/>
      <c r="I358" s="47"/>
      <c r="J358" s="48"/>
      <c r="K358" s="46"/>
      <c r="L358" s="47"/>
      <c r="M358" s="48"/>
      <c r="N358" s="46"/>
      <c r="O358" s="47"/>
      <c r="P358" s="48"/>
      <c r="Q358" s="46"/>
      <c r="R358" s="47"/>
      <c r="S358" s="48"/>
      <c r="T358" s="46"/>
      <c r="U358" s="47"/>
      <c r="V358" s="48"/>
      <c r="W358" s="46"/>
      <c r="X358" s="47"/>
      <c r="Y358" s="48"/>
      <c r="Z358" s="49"/>
      <c r="AA358" s="50"/>
      <c r="AB358" s="51"/>
    </row>
    <row r="359" spans="1:28" ht="13.5" customHeight="1">
      <c r="A359" s="27"/>
      <c r="B359" s="44"/>
      <c r="C359" s="36"/>
      <c r="D359" s="6"/>
      <c r="E359" s="46" t="s">
        <v>967</v>
      </c>
      <c r="F359" s="47" t="s">
        <v>962</v>
      </c>
      <c r="G359" s="48">
        <v>0.1</v>
      </c>
      <c r="H359" s="46" t="s">
        <v>967</v>
      </c>
      <c r="I359" s="47" t="s">
        <v>962</v>
      </c>
      <c r="J359" s="48">
        <v>0.1</v>
      </c>
      <c r="K359" s="46" t="s">
        <v>963</v>
      </c>
      <c r="L359" s="47" t="s">
        <v>962</v>
      </c>
      <c r="M359" s="48">
        <v>0.1</v>
      </c>
      <c r="N359" s="46" t="s">
        <v>963</v>
      </c>
      <c r="O359" s="47" t="s">
        <v>962</v>
      </c>
      <c r="P359" s="48">
        <v>0.1</v>
      </c>
      <c r="Q359" s="46" t="s">
        <v>963</v>
      </c>
      <c r="R359" s="47" t="s">
        <v>962</v>
      </c>
      <c r="S359" s="48">
        <v>0.1</v>
      </c>
      <c r="T359" s="46" t="s">
        <v>963</v>
      </c>
      <c r="U359" s="47" t="s">
        <v>962</v>
      </c>
      <c r="V359" s="48">
        <v>0.1</v>
      </c>
      <c r="W359" s="46" t="s">
        <v>964</v>
      </c>
      <c r="X359" s="47" t="s">
        <v>2614</v>
      </c>
      <c r="Y359" s="48">
        <v>0.2</v>
      </c>
      <c r="Z359" s="49" t="s">
        <v>965</v>
      </c>
      <c r="AA359" s="50" t="s">
        <v>962</v>
      </c>
      <c r="AB359" s="51">
        <v>0.2</v>
      </c>
    </row>
    <row r="360" spans="1:28" ht="13.5" customHeight="1">
      <c r="A360" s="145"/>
      <c r="B360" s="114"/>
      <c r="C360" s="82"/>
      <c r="D360" s="6"/>
      <c r="E360" s="46" t="s">
        <v>959</v>
      </c>
      <c r="F360" s="88" t="s">
        <v>966</v>
      </c>
      <c r="G360" s="48">
        <v>1.6</v>
      </c>
      <c r="H360" s="46" t="s">
        <v>959</v>
      </c>
      <c r="I360" s="88" t="s">
        <v>966</v>
      </c>
      <c r="J360" s="48">
        <v>1.4</v>
      </c>
      <c r="K360" s="46" t="s">
        <v>967</v>
      </c>
      <c r="L360" s="88" t="s">
        <v>966</v>
      </c>
      <c r="M360" s="48">
        <v>1.6</v>
      </c>
      <c r="N360" s="46" t="s">
        <v>967</v>
      </c>
      <c r="O360" s="88" t="s">
        <v>966</v>
      </c>
      <c r="P360" s="48">
        <v>1.7</v>
      </c>
      <c r="Q360" s="96" t="s">
        <v>967</v>
      </c>
      <c r="R360" s="88" t="s">
        <v>966</v>
      </c>
      <c r="S360" s="146">
        <v>2.2000000000000002</v>
      </c>
      <c r="T360" s="96" t="s">
        <v>967</v>
      </c>
      <c r="U360" s="88" t="s">
        <v>966</v>
      </c>
      <c r="V360" s="146">
        <v>2.1</v>
      </c>
      <c r="W360" s="96" t="s">
        <v>968</v>
      </c>
      <c r="X360" s="88" t="s">
        <v>2615</v>
      </c>
      <c r="Y360" s="146">
        <v>1.6</v>
      </c>
      <c r="Z360" s="90"/>
      <c r="AA360" s="91"/>
      <c r="AB360" s="147"/>
    </row>
    <row r="361" spans="1:28" ht="13.5" customHeight="1">
      <c r="A361" s="19" t="s">
        <v>969</v>
      </c>
      <c r="B361" s="21"/>
      <c r="C361" s="21"/>
      <c r="D361" s="30" t="s">
        <v>970</v>
      </c>
      <c r="E361" s="93"/>
      <c r="F361" s="92"/>
      <c r="G361" s="100">
        <f>SUM(G362,G376,G383,G411,G430,G436)</f>
        <v>45.6</v>
      </c>
      <c r="H361" s="93"/>
      <c r="I361" s="92"/>
      <c r="J361" s="100">
        <f>SUM(J362,J376,J383,J411,J430,J436)</f>
        <v>53.900000000000006</v>
      </c>
      <c r="K361" s="93"/>
      <c r="L361" s="92"/>
      <c r="M361" s="100">
        <f>SUM(M362,M376,M383,M411,M430,M436)</f>
        <v>44.199999999999996</v>
      </c>
      <c r="N361" s="93"/>
      <c r="O361" s="92"/>
      <c r="P361" s="100">
        <f>SUM(P362,P376,P383,P411,P430,P436)</f>
        <v>41.7</v>
      </c>
      <c r="Q361" s="93"/>
      <c r="R361" s="92"/>
      <c r="S361" s="100">
        <f>SUM(S362,S376,S383,S411,S430,S436)</f>
        <v>38.200000000000003</v>
      </c>
      <c r="T361" s="93"/>
      <c r="U361" s="92"/>
      <c r="V361" s="100">
        <f>SUM(V362,V376,V383,V411,V430,V436)</f>
        <v>37.900000000000006</v>
      </c>
      <c r="W361" s="93"/>
      <c r="X361" s="92"/>
      <c r="Y361" s="100">
        <f>SUM(Y362,Y376,Y383,Y411,Y430,Y436)</f>
        <v>31.900000000000006</v>
      </c>
      <c r="Z361" s="94"/>
      <c r="AA361" s="95"/>
      <c r="AB361" s="100">
        <f>SUM(AB362,AB376,AB383,AB411,AB430,AB436)</f>
        <v>33.5</v>
      </c>
    </row>
    <row r="362" spans="1:28" ht="13.5" customHeight="1">
      <c r="A362" s="104"/>
      <c r="B362" s="28" t="s">
        <v>971</v>
      </c>
      <c r="C362" s="13"/>
      <c r="D362" s="117" t="s">
        <v>972</v>
      </c>
      <c r="E362" s="31" t="s">
        <v>973</v>
      </c>
      <c r="F362" s="92"/>
      <c r="G362" s="33">
        <f>G363</f>
        <v>8.7000000000000011</v>
      </c>
      <c r="H362" s="31" t="s">
        <v>973</v>
      </c>
      <c r="I362" s="92"/>
      <c r="J362" s="33">
        <f>J363</f>
        <v>10.1</v>
      </c>
      <c r="K362" s="31" t="s">
        <v>973</v>
      </c>
      <c r="L362" s="92"/>
      <c r="M362" s="33">
        <f>M363</f>
        <v>8.6000000000000014</v>
      </c>
      <c r="N362" s="31" t="s">
        <v>973</v>
      </c>
      <c r="O362" s="92"/>
      <c r="P362" s="33">
        <f>P363</f>
        <v>8.5</v>
      </c>
      <c r="Q362" s="31" t="s">
        <v>973</v>
      </c>
      <c r="R362" s="92"/>
      <c r="S362" s="33">
        <f>S363</f>
        <v>6.9000000000000012</v>
      </c>
      <c r="T362" s="31" t="s">
        <v>973</v>
      </c>
      <c r="U362" s="92"/>
      <c r="V362" s="33">
        <f>V363</f>
        <v>6.6000000000000014</v>
      </c>
      <c r="W362" s="93"/>
      <c r="X362" s="92"/>
      <c r="Y362" s="33">
        <f>Y363</f>
        <v>7.9</v>
      </c>
      <c r="Z362" s="94"/>
      <c r="AA362" s="95"/>
      <c r="AB362" s="33">
        <f>AB363</f>
        <v>7.7</v>
      </c>
    </row>
    <row r="363" spans="1:28" ht="13.5" customHeight="1">
      <c r="A363" s="104"/>
      <c r="B363" s="36"/>
      <c r="C363" s="36" t="s">
        <v>974</v>
      </c>
      <c r="D363" s="6" t="s">
        <v>972</v>
      </c>
      <c r="E363" s="37" t="s">
        <v>975</v>
      </c>
      <c r="F363" s="41"/>
      <c r="G363" s="39">
        <f>SUM(G364:G375)</f>
        <v>8.7000000000000011</v>
      </c>
      <c r="H363" s="37" t="s">
        <v>975</v>
      </c>
      <c r="I363" s="41"/>
      <c r="J363" s="39">
        <f>SUM(J364:J375)</f>
        <v>10.1</v>
      </c>
      <c r="K363" s="37" t="s">
        <v>975</v>
      </c>
      <c r="L363" s="41"/>
      <c r="M363" s="39">
        <f>SUM(M364:M375)</f>
        <v>8.6000000000000014</v>
      </c>
      <c r="N363" s="37" t="s">
        <v>975</v>
      </c>
      <c r="O363" s="41"/>
      <c r="P363" s="39">
        <f>SUM(P364:P375)</f>
        <v>8.5</v>
      </c>
      <c r="Q363" s="37" t="s">
        <v>975</v>
      </c>
      <c r="R363" s="41"/>
      <c r="S363" s="39">
        <f>SUM(S364:S375)</f>
        <v>6.9000000000000012</v>
      </c>
      <c r="T363" s="37" t="s">
        <v>975</v>
      </c>
      <c r="U363" s="41"/>
      <c r="V363" s="39">
        <f>SUM(V364:V375)</f>
        <v>6.6000000000000014</v>
      </c>
      <c r="W363" s="40"/>
      <c r="X363" s="41"/>
      <c r="Y363" s="39">
        <f>SUM(Y364:Y375)</f>
        <v>7.9</v>
      </c>
      <c r="Z363" s="42"/>
      <c r="AA363" s="43"/>
      <c r="AB363" s="39">
        <f>SUM(AB364:AB375)</f>
        <v>7.7</v>
      </c>
    </row>
    <row r="364" spans="1:28" ht="13.5" customHeight="1">
      <c r="A364" s="27"/>
      <c r="B364" s="144"/>
      <c r="C364" s="21"/>
      <c r="D364" s="45"/>
      <c r="E364" s="46" t="s">
        <v>977</v>
      </c>
      <c r="F364" s="47" t="s">
        <v>976</v>
      </c>
      <c r="G364" s="48">
        <v>1.3</v>
      </c>
      <c r="H364" s="46" t="s">
        <v>977</v>
      </c>
      <c r="I364" s="47" t="s">
        <v>976</v>
      </c>
      <c r="J364" s="48">
        <v>1.3</v>
      </c>
      <c r="K364" s="46" t="s">
        <v>977</v>
      </c>
      <c r="L364" s="47" t="s">
        <v>976</v>
      </c>
      <c r="M364" s="48">
        <v>1.5</v>
      </c>
      <c r="N364" s="46" t="s">
        <v>977</v>
      </c>
      <c r="O364" s="47" t="s">
        <v>976</v>
      </c>
      <c r="P364" s="48">
        <v>1.3</v>
      </c>
      <c r="Q364" s="46" t="s">
        <v>977</v>
      </c>
      <c r="R364" s="47" t="s">
        <v>976</v>
      </c>
      <c r="S364" s="48">
        <v>1.4</v>
      </c>
      <c r="T364" s="46" t="s">
        <v>977</v>
      </c>
      <c r="U364" s="47" t="s">
        <v>976</v>
      </c>
      <c r="V364" s="48">
        <v>1.3</v>
      </c>
      <c r="W364" s="46" t="s">
        <v>708</v>
      </c>
      <c r="X364" s="47" t="s">
        <v>2616</v>
      </c>
      <c r="Y364" s="48">
        <v>1.8</v>
      </c>
      <c r="Z364" s="49" t="s">
        <v>978</v>
      </c>
      <c r="AA364" s="50" t="s">
        <v>976</v>
      </c>
      <c r="AB364" s="51">
        <v>2.1</v>
      </c>
    </row>
    <row r="365" spans="1:28" ht="13.5" customHeight="1">
      <c r="A365" s="27"/>
      <c r="B365" s="44"/>
      <c r="C365" s="44"/>
      <c r="D365" s="6"/>
      <c r="E365" s="46" t="s">
        <v>980</v>
      </c>
      <c r="F365" s="47" t="s">
        <v>979</v>
      </c>
      <c r="G365" s="48">
        <v>2.7</v>
      </c>
      <c r="H365" s="46" t="s">
        <v>980</v>
      </c>
      <c r="I365" s="47" t="s">
        <v>979</v>
      </c>
      <c r="J365" s="48">
        <v>2.8</v>
      </c>
      <c r="K365" s="46" t="s">
        <v>980</v>
      </c>
      <c r="L365" s="47" t="s">
        <v>979</v>
      </c>
      <c r="M365" s="48">
        <v>2.7</v>
      </c>
      <c r="N365" s="46" t="s">
        <v>980</v>
      </c>
      <c r="O365" s="47" t="s">
        <v>979</v>
      </c>
      <c r="P365" s="48">
        <v>2</v>
      </c>
      <c r="Q365" s="46" t="s">
        <v>980</v>
      </c>
      <c r="R365" s="47" t="s">
        <v>979</v>
      </c>
      <c r="S365" s="48">
        <v>1.8</v>
      </c>
      <c r="T365" s="46" t="s">
        <v>980</v>
      </c>
      <c r="U365" s="47" t="s">
        <v>979</v>
      </c>
      <c r="V365" s="48">
        <v>1.7</v>
      </c>
      <c r="W365" s="46" t="s">
        <v>697</v>
      </c>
      <c r="X365" s="47" t="s">
        <v>2617</v>
      </c>
      <c r="Y365" s="48">
        <v>1.4</v>
      </c>
      <c r="Z365" s="49" t="s">
        <v>981</v>
      </c>
      <c r="AA365" s="50" t="s">
        <v>979</v>
      </c>
      <c r="AB365" s="51">
        <v>1.1000000000000001</v>
      </c>
    </row>
    <row r="366" spans="1:28" ht="13.5" customHeight="1">
      <c r="A366" s="27"/>
      <c r="B366" s="44"/>
      <c r="C366" s="44"/>
      <c r="D366" s="6"/>
      <c r="E366" s="46" t="s">
        <v>983</v>
      </c>
      <c r="F366" s="47" t="s">
        <v>982</v>
      </c>
      <c r="G366" s="48">
        <v>0.4</v>
      </c>
      <c r="H366" s="46" t="s">
        <v>983</v>
      </c>
      <c r="I366" s="47" t="s">
        <v>982</v>
      </c>
      <c r="J366" s="48">
        <v>0.6</v>
      </c>
      <c r="K366" s="46" t="s">
        <v>983</v>
      </c>
      <c r="L366" s="47" t="s">
        <v>982</v>
      </c>
      <c r="M366" s="48">
        <v>0.5</v>
      </c>
      <c r="N366" s="46" t="s">
        <v>983</v>
      </c>
      <c r="O366" s="47" t="s">
        <v>982</v>
      </c>
      <c r="P366" s="48">
        <v>0.5</v>
      </c>
      <c r="Q366" s="46" t="s">
        <v>983</v>
      </c>
      <c r="R366" s="47" t="s">
        <v>982</v>
      </c>
      <c r="S366" s="48">
        <v>0.5</v>
      </c>
      <c r="T366" s="46" t="s">
        <v>983</v>
      </c>
      <c r="U366" s="47" t="s">
        <v>982</v>
      </c>
      <c r="V366" s="48">
        <v>0.5</v>
      </c>
      <c r="W366" s="46" t="s">
        <v>655</v>
      </c>
      <c r="X366" s="47" t="s">
        <v>2618</v>
      </c>
      <c r="Y366" s="48">
        <v>0.7</v>
      </c>
      <c r="Z366" s="49" t="s">
        <v>984</v>
      </c>
      <c r="AA366" s="50" t="s">
        <v>982</v>
      </c>
      <c r="AB366" s="51">
        <v>0.5</v>
      </c>
    </row>
    <row r="367" spans="1:28" ht="13.5" customHeight="1">
      <c r="A367" s="27"/>
      <c r="B367" s="44"/>
      <c r="C367" s="44"/>
      <c r="D367" s="6"/>
      <c r="E367" s="46" t="s">
        <v>986</v>
      </c>
      <c r="F367" s="47" t="s">
        <v>985</v>
      </c>
      <c r="G367" s="48">
        <v>1.3</v>
      </c>
      <c r="H367" s="46" t="s">
        <v>986</v>
      </c>
      <c r="I367" s="47" t="s">
        <v>985</v>
      </c>
      <c r="J367" s="48">
        <v>1.7</v>
      </c>
      <c r="K367" s="46" t="s">
        <v>986</v>
      </c>
      <c r="L367" s="47" t="s">
        <v>985</v>
      </c>
      <c r="M367" s="48">
        <v>1.8</v>
      </c>
      <c r="N367" s="46" t="s">
        <v>986</v>
      </c>
      <c r="O367" s="47" t="s">
        <v>985</v>
      </c>
      <c r="P367" s="48">
        <v>1.5</v>
      </c>
      <c r="Q367" s="46" t="s">
        <v>986</v>
      </c>
      <c r="R367" s="47" t="s">
        <v>985</v>
      </c>
      <c r="S367" s="48">
        <v>0.9</v>
      </c>
      <c r="T367" s="46" t="s">
        <v>986</v>
      </c>
      <c r="U367" s="47" t="s">
        <v>985</v>
      </c>
      <c r="V367" s="48">
        <v>0.9</v>
      </c>
      <c r="W367" s="46" t="s">
        <v>703</v>
      </c>
      <c r="X367" s="47" t="s">
        <v>2619</v>
      </c>
      <c r="Y367" s="48">
        <v>1.3</v>
      </c>
      <c r="Z367" s="49" t="s">
        <v>987</v>
      </c>
      <c r="AA367" s="50" t="s">
        <v>988</v>
      </c>
      <c r="AB367" s="51">
        <v>0.8</v>
      </c>
    </row>
    <row r="368" spans="1:28" ht="13.5" customHeight="1">
      <c r="A368" s="27"/>
      <c r="B368" s="44"/>
      <c r="C368" s="36"/>
      <c r="D368" s="6"/>
      <c r="E368" s="46" t="s">
        <v>990</v>
      </c>
      <c r="F368" s="47" t="s">
        <v>989</v>
      </c>
      <c r="G368" s="48">
        <v>0.4</v>
      </c>
      <c r="H368" s="46" t="s">
        <v>990</v>
      </c>
      <c r="I368" s="47" t="s">
        <v>989</v>
      </c>
      <c r="J368" s="48">
        <v>0.5</v>
      </c>
      <c r="K368" s="46" t="s">
        <v>990</v>
      </c>
      <c r="L368" s="47" t="s">
        <v>989</v>
      </c>
      <c r="M368" s="48">
        <v>0.4</v>
      </c>
      <c r="N368" s="46" t="s">
        <v>990</v>
      </c>
      <c r="O368" s="47" t="s">
        <v>989</v>
      </c>
      <c r="P368" s="48">
        <v>0.4</v>
      </c>
      <c r="Q368" s="46" t="s">
        <v>990</v>
      </c>
      <c r="R368" s="47" t="s">
        <v>989</v>
      </c>
      <c r="S368" s="48">
        <v>0.4</v>
      </c>
      <c r="T368" s="46" t="s">
        <v>990</v>
      </c>
      <c r="U368" s="47" t="s">
        <v>989</v>
      </c>
      <c r="V368" s="48">
        <v>0.4</v>
      </c>
      <c r="W368" s="46" t="s">
        <v>651</v>
      </c>
      <c r="X368" s="47" t="s">
        <v>2620</v>
      </c>
      <c r="Y368" s="48">
        <v>0.5</v>
      </c>
      <c r="Z368" s="49" t="s">
        <v>859</v>
      </c>
      <c r="AA368" s="50" t="s">
        <v>989</v>
      </c>
      <c r="AB368" s="51">
        <v>0.5</v>
      </c>
    </row>
    <row r="369" spans="1:28" ht="13.5" customHeight="1">
      <c r="A369" s="27"/>
      <c r="B369" s="44"/>
      <c r="C369" s="36"/>
      <c r="D369" s="6"/>
      <c r="E369" s="46" t="s">
        <v>992</v>
      </c>
      <c r="F369" s="47" t="s">
        <v>991</v>
      </c>
      <c r="G369" s="48">
        <v>0.4</v>
      </c>
      <c r="H369" s="46" t="s">
        <v>992</v>
      </c>
      <c r="I369" s="47" t="s">
        <v>991</v>
      </c>
      <c r="J369" s="48">
        <v>0.5</v>
      </c>
      <c r="K369" s="46" t="s">
        <v>992</v>
      </c>
      <c r="L369" s="47" t="s">
        <v>991</v>
      </c>
      <c r="M369" s="48">
        <v>0.2</v>
      </c>
      <c r="N369" s="46" t="s">
        <v>992</v>
      </c>
      <c r="O369" s="47" t="s">
        <v>991</v>
      </c>
      <c r="P369" s="48">
        <v>0.3</v>
      </c>
      <c r="Q369" s="46" t="s">
        <v>992</v>
      </c>
      <c r="R369" s="47" t="s">
        <v>991</v>
      </c>
      <c r="S369" s="48">
        <v>0.2</v>
      </c>
      <c r="T369" s="46" t="s">
        <v>992</v>
      </c>
      <c r="U369" s="47" t="s">
        <v>991</v>
      </c>
      <c r="V369" s="48">
        <v>0.2</v>
      </c>
      <c r="W369" s="46" t="s">
        <v>693</v>
      </c>
      <c r="X369" s="47" t="s">
        <v>2621</v>
      </c>
      <c r="Y369" s="48">
        <v>0.2</v>
      </c>
      <c r="Z369" s="49" t="s">
        <v>993</v>
      </c>
      <c r="AA369" s="50" t="s">
        <v>991</v>
      </c>
      <c r="AB369" s="51">
        <v>0.2</v>
      </c>
    </row>
    <row r="370" spans="1:28" ht="13.5" customHeight="1">
      <c r="A370" s="27"/>
      <c r="B370" s="44"/>
      <c r="C370" s="36"/>
      <c r="D370" s="6"/>
      <c r="E370" s="46" t="s">
        <v>995</v>
      </c>
      <c r="F370" s="47" t="s">
        <v>994</v>
      </c>
      <c r="G370" s="48">
        <v>0.9</v>
      </c>
      <c r="H370" s="46" t="s">
        <v>995</v>
      </c>
      <c r="I370" s="47" t="s">
        <v>994</v>
      </c>
      <c r="J370" s="48">
        <v>0.8</v>
      </c>
      <c r="K370" s="46" t="s">
        <v>995</v>
      </c>
      <c r="L370" s="47" t="s">
        <v>994</v>
      </c>
      <c r="M370" s="48">
        <v>0.7</v>
      </c>
      <c r="N370" s="46" t="s">
        <v>995</v>
      </c>
      <c r="O370" s="47" t="s">
        <v>994</v>
      </c>
      <c r="P370" s="48">
        <v>0.7</v>
      </c>
      <c r="Q370" s="46" t="s">
        <v>995</v>
      </c>
      <c r="R370" s="47" t="s">
        <v>994</v>
      </c>
      <c r="S370" s="48">
        <v>0.4</v>
      </c>
      <c r="T370" s="46" t="s">
        <v>995</v>
      </c>
      <c r="U370" s="47" t="s">
        <v>994</v>
      </c>
      <c r="V370" s="48">
        <v>0.4</v>
      </c>
      <c r="W370" s="46" t="s">
        <v>668</v>
      </c>
      <c r="X370" s="47" t="s">
        <v>2622</v>
      </c>
      <c r="Y370" s="48">
        <v>0.6</v>
      </c>
      <c r="Z370" s="49" t="s">
        <v>996</v>
      </c>
      <c r="AA370" s="50" t="s">
        <v>994</v>
      </c>
      <c r="AB370" s="51">
        <v>0.3</v>
      </c>
    </row>
    <row r="371" spans="1:28" ht="13.5" customHeight="1">
      <c r="A371" s="27"/>
      <c r="B371" s="44"/>
      <c r="C371" s="36"/>
      <c r="D371" s="6"/>
      <c r="E371" s="46" t="s">
        <v>998</v>
      </c>
      <c r="F371" s="47" t="s">
        <v>997</v>
      </c>
      <c r="G371" s="48">
        <v>1.3</v>
      </c>
      <c r="H371" s="46" t="s">
        <v>998</v>
      </c>
      <c r="I371" s="47" t="s">
        <v>997</v>
      </c>
      <c r="J371" s="48">
        <v>1.9</v>
      </c>
      <c r="K371" s="46" t="s">
        <v>998</v>
      </c>
      <c r="L371" s="47" t="s">
        <v>997</v>
      </c>
      <c r="M371" s="48">
        <v>0.8</v>
      </c>
      <c r="N371" s="46" t="s">
        <v>998</v>
      </c>
      <c r="O371" s="47" t="s">
        <v>997</v>
      </c>
      <c r="P371" s="48">
        <v>1.8</v>
      </c>
      <c r="Q371" s="46" t="s">
        <v>998</v>
      </c>
      <c r="R371" s="47" t="s">
        <v>997</v>
      </c>
      <c r="S371" s="48">
        <v>1.3</v>
      </c>
      <c r="T371" s="46" t="s">
        <v>998</v>
      </c>
      <c r="U371" s="47" t="s">
        <v>997</v>
      </c>
      <c r="V371" s="48">
        <v>1.2</v>
      </c>
      <c r="W371" s="46" t="s">
        <v>720</v>
      </c>
      <c r="X371" s="47" t="s">
        <v>2623</v>
      </c>
      <c r="Y371" s="48">
        <v>1.4</v>
      </c>
      <c r="Z371" s="49" t="s">
        <v>999</v>
      </c>
      <c r="AA371" s="50" t="s">
        <v>997</v>
      </c>
      <c r="AB371" s="51">
        <v>1.9</v>
      </c>
    </row>
    <row r="372" spans="1:28" ht="13.5" customHeight="1">
      <c r="A372" s="27"/>
      <c r="B372" s="44"/>
      <c r="C372" s="36"/>
      <c r="D372" s="6"/>
      <c r="E372" s="46"/>
      <c r="F372" s="47"/>
      <c r="G372" s="48"/>
      <c r="H372" s="46"/>
      <c r="I372" s="47"/>
      <c r="J372" s="48"/>
      <c r="K372" s="46"/>
      <c r="L372" s="47"/>
      <c r="M372" s="48"/>
      <c r="N372" s="46"/>
      <c r="O372" s="47"/>
      <c r="P372" s="48"/>
      <c r="Q372" s="46"/>
      <c r="R372" s="47"/>
      <c r="S372" s="48"/>
      <c r="T372" s="46"/>
      <c r="U372" s="47"/>
      <c r="V372" s="48"/>
      <c r="W372" s="46"/>
      <c r="X372" s="47"/>
      <c r="Y372" s="48"/>
      <c r="Z372" s="49" t="s">
        <v>1000</v>
      </c>
      <c r="AA372" s="50" t="s">
        <v>1001</v>
      </c>
      <c r="AB372" s="51">
        <v>0.1</v>
      </c>
    </row>
    <row r="373" spans="1:28" ht="13.5" customHeight="1">
      <c r="A373" s="27"/>
      <c r="B373" s="44"/>
      <c r="C373" s="36"/>
      <c r="D373" s="6"/>
      <c r="E373" s="46"/>
      <c r="F373" s="47"/>
      <c r="G373" s="48"/>
      <c r="H373" s="46"/>
      <c r="I373" s="47"/>
      <c r="J373" s="48"/>
      <c r="K373" s="46"/>
      <c r="L373" s="47"/>
      <c r="M373" s="48"/>
      <c r="N373" s="46"/>
      <c r="O373" s="47"/>
      <c r="P373" s="48"/>
      <c r="Q373" s="46"/>
      <c r="R373" s="47"/>
      <c r="S373" s="48"/>
      <c r="T373" s="46"/>
      <c r="U373" s="47"/>
      <c r="V373" s="48"/>
      <c r="W373" s="46"/>
      <c r="X373" s="47"/>
      <c r="Y373" s="48"/>
      <c r="Z373" s="49"/>
      <c r="AA373" s="50"/>
      <c r="AB373" s="51"/>
    </row>
    <row r="374" spans="1:28" ht="13.5" customHeight="1">
      <c r="A374" s="27"/>
      <c r="B374" s="44"/>
      <c r="C374" s="36"/>
      <c r="D374" s="6"/>
      <c r="E374" s="46"/>
      <c r="F374" s="101"/>
      <c r="G374" s="48"/>
      <c r="H374" s="46"/>
      <c r="I374" s="101"/>
      <c r="J374" s="48"/>
      <c r="K374" s="46"/>
      <c r="L374" s="101"/>
      <c r="M374" s="48"/>
      <c r="N374" s="46"/>
      <c r="O374" s="101"/>
      <c r="P374" s="48"/>
      <c r="Q374" s="102"/>
      <c r="R374" s="101"/>
      <c r="S374" s="103"/>
      <c r="T374" s="102"/>
      <c r="U374" s="101"/>
      <c r="V374" s="103"/>
      <c r="W374" s="102"/>
      <c r="X374" s="101"/>
      <c r="Y374" s="103"/>
      <c r="Z374" s="49" t="s">
        <v>1002</v>
      </c>
      <c r="AA374" s="50" t="s">
        <v>1003</v>
      </c>
      <c r="AB374" s="51">
        <v>0.2</v>
      </c>
    </row>
    <row r="375" spans="1:28" ht="13.5" customHeight="1">
      <c r="A375" s="27"/>
      <c r="B375" s="44"/>
      <c r="C375" s="36"/>
      <c r="D375" s="6"/>
      <c r="E375" s="46"/>
      <c r="F375" s="148"/>
      <c r="G375" s="48"/>
      <c r="H375" s="46"/>
      <c r="I375" s="148"/>
      <c r="J375" s="48"/>
      <c r="K375" s="46"/>
      <c r="L375" s="148"/>
      <c r="M375" s="48"/>
      <c r="N375" s="46"/>
      <c r="O375" s="148"/>
      <c r="P375" s="48"/>
      <c r="Q375" s="149"/>
      <c r="R375" s="148"/>
      <c r="S375" s="150"/>
      <c r="T375" s="149"/>
      <c r="U375" s="148"/>
      <c r="V375" s="150"/>
      <c r="W375" s="149"/>
      <c r="X375" s="148"/>
      <c r="Y375" s="150"/>
      <c r="Z375" s="78"/>
      <c r="AA375" s="79"/>
      <c r="AB375" s="80"/>
    </row>
    <row r="376" spans="1:28" ht="13.5" customHeight="1">
      <c r="A376" s="27"/>
      <c r="B376" s="28" t="s">
        <v>1004</v>
      </c>
      <c r="C376" s="13"/>
      <c r="D376" s="117" t="s">
        <v>1005</v>
      </c>
      <c r="E376" s="31" t="s">
        <v>1006</v>
      </c>
      <c r="F376" s="118"/>
      <c r="G376" s="33">
        <f>G377</f>
        <v>3</v>
      </c>
      <c r="H376" s="31" t="s">
        <v>1006</v>
      </c>
      <c r="I376" s="118"/>
      <c r="J376" s="33">
        <f>J377</f>
        <v>3.5</v>
      </c>
      <c r="K376" s="31" t="s">
        <v>1006</v>
      </c>
      <c r="L376" s="118"/>
      <c r="M376" s="33">
        <f>M377</f>
        <v>3.1999999999999997</v>
      </c>
      <c r="N376" s="31" t="s">
        <v>1006</v>
      </c>
      <c r="O376" s="118"/>
      <c r="P376" s="33">
        <f>P377</f>
        <v>3.3</v>
      </c>
      <c r="Q376" s="31" t="s">
        <v>1006</v>
      </c>
      <c r="R376" s="118"/>
      <c r="S376" s="33">
        <f>S377</f>
        <v>3.2</v>
      </c>
      <c r="T376" s="31" t="s">
        <v>1006</v>
      </c>
      <c r="U376" s="118"/>
      <c r="V376" s="33">
        <f>V377</f>
        <v>3.1</v>
      </c>
      <c r="W376" s="119"/>
      <c r="X376" s="118"/>
      <c r="Y376" s="33">
        <f>Y377</f>
        <v>2.4</v>
      </c>
      <c r="Z376" s="65"/>
      <c r="AA376" s="66"/>
      <c r="AB376" s="33">
        <f>AB377</f>
        <v>3.4000000000000004</v>
      </c>
    </row>
    <row r="377" spans="1:28" ht="13.5" customHeight="1">
      <c r="A377" s="27"/>
      <c r="B377" s="36"/>
      <c r="C377" s="28" t="s">
        <v>1007</v>
      </c>
      <c r="D377" s="30" t="s">
        <v>1005</v>
      </c>
      <c r="E377" s="37" t="s">
        <v>1008</v>
      </c>
      <c r="F377" s="41"/>
      <c r="G377" s="39">
        <f>SUM(G378:G382)</f>
        <v>3</v>
      </c>
      <c r="H377" s="37" t="s">
        <v>1008</v>
      </c>
      <c r="I377" s="41"/>
      <c r="J377" s="39">
        <f>SUM(J378:J382)</f>
        <v>3.5</v>
      </c>
      <c r="K377" s="37" t="s">
        <v>1008</v>
      </c>
      <c r="L377" s="41"/>
      <c r="M377" s="39">
        <f>SUM(M378:M382)</f>
        <v>3.1999999999999997</v>
      </c>
      <c r="N377" s="37" t="s">
        <v>1008</v>
      </c>
      <c r="O377" s="41"/>
      <c r="P377" s="39">
        <f>SUM(P378:P382)</f>
        <v>3.3</v>
      </c>
      <c r="Q377" s="37" t="s">
        <v>1008</v>
      </c>
      <c r="R377" s="41"/>
      <c r="S377" s="39">
        <f>SUM(S378:S382)</f>
        <v>3.2</v>
      </c>
      <c r="T377" s="37" t="s">
        <v>1008</v>
      </c>
      <c r="U377" s="41"/>
      <c r="V377" s="39">
        <f>SUM(V378:V382)</f>
        <v>3.1</v>
      </c>
      <c r="W377" s="40"/>
      <c r="X377" s="41"/>
      <c r="Y377" s="39">
        <f>SUM(Y378:Y382)</f>
        <v>2.4</v>
      </c>
      <c r="Z377" s="42"/>
      <c r="AA377" s="43"/>
      <c r="AB377" s="39">
        <f>SUM(AB378:AB382)</f>
        <v>3.4000000000000004</v>
      </c>
    </row>
    <row r="378" spans="1:28" ht="13.5" customHeight="1">
      <c r="A378" s="27"/>
      <c r="B378" s="44"/>
      <c r="C378" s="36"/>
      <c r="D378" s="6"/>
      <c r="E378" s="46" t="s">
        <v>1010</v>
      </c>
      <c r="F378" s="47" t="s">
        <v>1009</v>
      </c>
      <c r="G378" s="48">
        <v>2.6</v>
      </c>
      <c r="H378" s="46" t="s">
        <v>1010</v>
      </c>
      <c r="I378" s="47" t="s">
        <v>1009</v>
      </c>
      <c r="J378" s="48">
        <v>2.9</v>
      </c>
      <c r="K378" s="46" t="s">
        <v>1010</v>
      </c>
      <c r="L378" s="47" t="s">
        <v>1009</v>
      </c>
      <c r="M378" s="48">
        <v>2.8</v>
      </c>
      <c r="N378" s="46" t="s">
        <v>1010</v>
      </c>
      <c r="O378" s="47" t="s">
        <v>1009</v>
      </c>
      <c r="P378" s="48">
        <v>2.9</v>
      </c>
      <c r="Q378" s="46" t="s">
        <v>1010</v>
      </c>
      <c r="R378" s="47" t="s">
        <v>1009</v>
      </c>
      <c r="S378" s="48">
        <v>2.7</v>
      </c>
      <c r="T378" s="46" t="s">
        <v>1010</v>
      </c>
      <c r="U378" s="47" t="s">
        <v>1009</v>
      </c>
      <c r="V378" s="48">
        <v>2.7</v>
      </c>
      <c r="W378" s="46" t="s">
        <v>672</v>
      </c>
      <c r="X378" s="47" t="s">
        <v>2624</v>
      </c>
      <c r="Y378" s="48">
        <v>1.5</v>
      </c>
      <c r="Z378" s="49" t="s">
        <v>1011</v>
      </c>
      <c r="AA378" s="50" t="s">
        <v>1012</v>
      </c>
      <c r="AB378" s="51">
        <v>1.6</v>
      </c>
    </row>
    <row r="379" spans="1:28" ht="13.5" customHeight="1">
      <c r="A379" s="27"/>
      <c r="B379" s="44"/>
      <c r="C379" s="36"/>
      <c r="D379" s="6"/>
      <c r="E379" s="46"/>
      <c r="F379" s="47"/>
      <c r="G379" s="48"/>
      <c r="H379" s="46"/>
      <c r="I379" s="47"/>
      <c r="J379" s="48"/>
      <c r="K379" s="46"/>
      <c r="L379" s="47"/>
      <c r="M379" s="48"/>
      <c r="N379" s="46"/>
      <c r="O379" s="47"/>
      <c r="P379" s="48"/>
      <c r="Q379" s="46"/>
      <c r="R379" s="47"/>
      <c r="S379" s="48"/>
      <c r="T379" s="46"/>
      <c r="U379" s="47"/>
      <c r="V379" s="48"/>
      <c r="W379" s="46" t="s">
        <v>751</v>
      </c>
      <c r="X379" s="47" t="s">
        <v>2625</v>
      </c>
      <c r="Y379" s="48">
        <v>0.4</v>
      </c>
      <c r="Z379" s="49" t="s">
        <v>1013</v>
      </c>
      <c r="AA379" s="50" t="s">
        <v>1014</v>
      </c>
      <c r="AB379" s="51">
        <v>1</v>
      </c>
    </row>
    <row r="380" spans="1:28" ht="13.5" customHeight="1">
      <c r="A380" s="27"/>
      <c r="B380" s="44"/>
      <c r="C380" s="36"/>
      <c r="D380" s="6"/>
      <c r="E380" s="46" t="s">
        <v>1016</v>
      </c>
      <c r="F380" s="47" t="s">
        <v>1015</v>
      </c>
      <c r="G380" s="48">
        <v>0.4</v>
      </c>
      <c r="H380" s="46" t="s">
        <v>1016</v>
      </c>
      <c r="I380" s="47" t="s">
        <v>1015</v>
      </c>
      <c r="J380" s="48">
        <v>0.6</v>
      </c>
      <c r="K380" s="46" t="s">
        <v>1016</v>
      </c>
      <c r="L380" s="47" t="s">
        <v>1015</v>
      </c>
      <c r="M380" s="48">
        <v>0.4</v>
      </c>
      <c r="N380" s="46" t="s">
        <v>1016</v>
      </c>
      <c r="O380" s="47" t="s">
        <v>1015</v>
      </c>
      <c r="P380" s="48">
        <v>0.4</v>
      </c>
      <c r="Q380" s="46" t="s">
        <v>1016</v>
      </c>
      <c r="R380" s="47" t="s">
        <v>1015</v>
      </c>
      <c r="S380" s="48">
        <v>0.5</v>
      </c>
      <c r="T380" s="46" t="s">
        <v>1016</v>
      </c>
      <c r="U380" s="47" t="s">
        <v>1015</v>
      </c>
      <c r="V380" s="48">
        <v>0.4</v>
      </c>
      <c r="W380" s="46" t="s">
        <v>675</v>
      </c>
      <c r="X380" s="47" t="s">
        <v>2626</v>
      </c>
      <c r="Y380" s="48">
        <v>0.5</v>
      </c>
      <c r="Z380" s="49" t="s">
        <v>1017</v>
      </c>
      <c r="AA380" s="50" t="s">
        <v>1015</v>
      </c>
      <c r="AB380" s="51">
        <v>0.6</v>
      </c>
    </row>
    <row r="381" spans="1:28" ht="13.5" customHeight="1">
      <c r="A381" s="27"/>
      <c r="B381" s="44"/>
      <c r="C381" s="36"/>
      <c r="D381" s="6"/>
      <c r="E381" s="46"/>
      <c r="F381" s="47"/>
      <c r="G381" s="48"/>
      <c r="H381" s="46"/>
      <c r="I381" s="47"/>
      <c r="J381" s="48"/>
      <c r="K381" s="46"/>
      <c r="L381" s="47"/>
      <c r="M381" s="48"/>
      <c r="N381" s="46"/>
      <c r="O381" s="47"/>
      <c r="P381" s="48"/>
      <c r="Q381" s="46"/>
      <c r="R381" s="47"/>
      <c r="S381" s="48"/>
      <c r="T381" s="46"/>
      <c r="U381" s="47"/>
      <c r="V381" s="48"/>
      <c r="W381" s="46"/>
      <c r="X381" s="47"/>
      <c r="Y381" s="48"/>
      <c r="Z381" s="49" t="s">
        <v>1018</v>
      </c>
      <c r="AA381" s="50" t="s">
        <v>1019</v>
      </c>
      <c r="AB381" s="51">
        <v>0.2</v>
      </c>
    </row>
    <row r="382" spans="1:28" ht="13.5" customHeight="1">
      <c r="A382" s="27"/>
      <c r="B382" s="44"/>
      <c r="C382" s="82"/>
      <c r="D382" s="83"/>
      <c r="E382" s="46"/>
      <c r="F382" s="151"/>
      <c r="G382" s="48"/>
      <c r="H382" s="46"/>
      <c r="I382" s="151"/>
      <c r="J382" s="48"/>
      <c r="K382" s="46"/>
      <c r="L382" s="151"/>
      <c r="M382" s="48"/>
      <c r="N382" s="46"/>
      <c r="O382" s="151"/>
      <c r="P382" s="48"/>
      <c r="Q382" s="152"/>
      <c r="R382" s="151"/>
      <c r="S382" s="150"/>
      <c r="T382" s="152"/>
      <c r="U382" s="151"/>
      <c r="V382" s="150"/>
      <c r="W382" s="152"/>
      <c r="X382" s="151"/>
      <c r="Y382" s="150"/>
      <c r="Z382" s="78"/>
      <c r="AA382" s="79"/>
      <c r="AB382" s="80"/>
    </row>
    <row r="383" spans="1:28" ht="13.5" customHeight="1">
      <c r="A383" s="27"/>
      <c r="B383" s="28" t="s">
        <v>1020</v>
      </c>
      <c r="C383" s="21"/>
      <c r="D383" s="6" t="s">
        <v>1021</v>
      </c>
      <c r="E383" s="31" t="s">
        <v>1022</v>
      </c>
      <c r="F383" s="153"/>
      <c r="G383" s="33">
        <f>G384+G408</f>
        <v>16.7</v>
      </c>
      <c r="H383" s="31" t="s">
        <v>1022</v>
      </c>
      <c r="I383" s="153"/>
      <c r="J383" s="33">
        <f>J384+J408</f>
        <v>21.4</v>
      </c>
      <c r="K383" s="31" t="s">
        <v>1022</v>
      </c>
      <c r="L383" s="153"/>
      <c r="M383" s="33">
        <f>M384+M408</f>
        <v>16.399999999999999</v>
      </c>
      <c r="N383" s="31" t="s">
        <v>1022</v>
      </c>
      <c r="O383" s="153"/>
      <c r="P383" s="33">
        <f>P384+P408</f>
        <v>13.900000000000002</v>
      </c>
      <c r="Q383" s="31" t="s">
        <v>1022</v>
      </c>
      <c r="R383" s="153"/>
      <c r="S383" s="33">
        <f>S384+S408</f>
        <v>12.7</v>
      </c>
      <c r="T383" s="31" t="s">
        <v>1022</v>
      </c>
      <c r="U383" s="153"/>
      <c r="V383" s="33">
        <f>V384+V408</f>
        <v>12.000000000000002</v>
      </c>
      <c r="W383" s="154"/>
      <c r="X383" s="153"/>
      <c r="Y383" s="33">
        <f>Y384+Y408</f>
        <v>12.000000000000002</v>
      </c>
      <c r="Z383" s="110"/>
      <c r="AA383" s="111"/>
      <c r="AB383" s="33">
        <f>AB384+AB408</f>
        <v>10</v>
      </c>
    </row>
    <row r="384" spans="1:28" ht="13.5" customHeight="1">
      <c r="A384" s="27"/>
      <c r="B384" s="36"/>
      <c r="C384" s="28" t="s">
        <v>1023</v>
      </c>
      <c r="D384" s="30" t="s">
        <v>1024</v>
      </c>
      <c r="E384" s="37" t="s">
        <v>1025</v>
      </c>
      <c r="F384" s="41"/>
      <c r="G384" s="39">
        <f>SUM(G385:G407)</f>
        <v>11.799999999999999</v>
      </c>
      <c r="H384" s="37" t="s">
        <v>1025</v>
      </c>
      <c r="I384" s="41"/>
      <c r="J384" s="39">
        <f>SUM(J385:J407)</f>
        <v>16.399999999999999</v>
      </c>
      <c r="K384" s="37" t="s">
        <v>1025</v>
      </c>
      <c r="L384" s="41"/>
      <c r="M384" s="39">
        <f>SUM(M385:M407)</f>
        <v>13</v>
      </c>
      <c r="N384" s="37" t="s">
        <v>1025</v>
      </c>
      <c r="O384" s="41"/>
      <c r="P384" s="39">
        <f>SUM(P385:P407)</f>
        <v>9.9000000000000021</v>
      </c>
      <c r="Q384" s="37" t="s">
        <v>1025</v>
      </c>
      <c r="R384" s="41"/>
      <c r="S384" s="39">
        <f>SUM(S385:S407)</f>
        <v>8.9</v>
      </c>
      <c r="T384" s="37" t="s">
        <v>1025</v>
      </c>
      <c r="U384" s="41"/>
      <c r="V384" s="39">
        <f>SUM(V385:V407)</f>
        <v>8.9000000000000021</v>
      </c>
      <c r="W384" s="40"/>
      <c r="X384" s="41"/>
      <c r="Y384" s="39">
        <f>SUM(Y385:Y407)</f>
        <v>11.600000000000001</v>
      </c>
      <c r="Z384" s="42"/>
      <c r="AA384" s="43"/>
      <c r="AB384" s="39">
        <f>SUM(AB385:AB407)</f>
        <v>9.8000000000000007</v>
      </c>
    </row>
    <row r="385" spans="1:28" ht="13.5" customHeight="1">
      <c r="A385" s="27"/>
      <c r="B385" s="36"/>
      <c r="C385" s="44"/>
      <c r="D385" s="45"/>
      <c r="E385" s="46" t="s">
        <v>1027</v>
      </c>
      <c r="F385" s="47" t="s">
        <v>1026</v>
      </c>
      <c r="G385" s="48">
        <v>0.5</v>
      </c>
      <c r="H385" s="46" t="s">
        <v>1027</v>
      </c>
      <c r="I385" s="47" t="s">
        <v>1026</v>
      </c>
      <c r="J385" s="48">
        <v>0.7</v>
      </c>
      <c r="K385" s="46" t="s">
        <v>1027</v>
      </c>
      <c r="L385" s="47" t="s">
        <v>1026</v>
      </c>
      <c r="M385" s="48">
        <v>0.6</v>
      </c>
      <c r="N385" s="46" t="s">
        <v>1027</v>
      </c>
      <c r="O385" s="47" t="s">
        <v>1026</v>
      </c>
      <c r="P385" s="48">
        <v>0.7</v>
      </c>
      <c r="Q385" s="46" t="s">
        <v>1027</v>
      </c>
      <c r="R385" s="47" t="s">
        <v>1026</v>
      </c>
      <c r="S385" s="48">
        <v>0.6</v>
      </c>
      <c r="T385" s="46" t="s">
        <v>1027</v>
      </c>
      <c r="U385" s="47" t="s">
        <v>1026</v>
      </c>
      <c r="V385" s="48">
        <v>0.6</v>
      </c>
      <c r="W385" s="46" t="s">
        <v>1028</v>
      </c>
      <c r="X385" s="47" t="s">
        <v>2627</v>
      </c>
      <c r="Y385" s="48">
        <v>0.5</v>
      </c>
      <c r="Z385" s="49" t="s">
        <v>1029</v>
      </c>
      <c r="AA385" s="50" t="s">
        <v>1030</v>
      </c>
      <c r="AB385" s="51">
        <v>0.6</v>
      </c>
    </row>
    <row r="386" spans="1:28" ht="13.5" customHeight="1">
      <c r="A386" s="27"/>
      <c r="B386" s="44"/>
      <c r="C386" s="44"/>
      <c r="D386" s="6"/>
      <c r="E386" s="46"/>
      <c r="F386" s="47"/>
      <c r="G386" s="48"/>
      <c r="H386" s="46"/>
      <c r="I386" s="47"/>
      <c r="J386" s="48"/>
      <c r="K386" s="46"/>
      <c r="L386" s="47"/>
      <c r="M386" s="48"/>
      <c r="N386" s="46"/>
      <c r="O386" s="47"/>
      <c r="P386" s="48"/>
      <c r="Q386" s="46"/>
      <c r="R386" s="47"/>
      <c r="S386" s="48"/>
      <c r="T386" s="46"/>
      <c r="U386" s="47"/>
      <c r="V386" s="48"/>
      <c r="W386" s="46"/>
      <c r="X386" s="47"/>
      <c r="Y386" s="48"/>
      <c r="Z386" s="49"/>
      <c r="AA386" s="50"/>
      <c r="AB386" s="51"/>
    </row>
    <row r="387" spans="1:28" ht="13.5" customHeight="1">
      <c r="A387" s="27"/>
      <c r="B387" s="44"/>
      <c r="C387" s="44"/>
      <c r="D387" s="6"/>
      <c r="E387" s="46" t="s">
        <v>1032</v>
      </c>
      <c r="F387" s="47" t="s">
        <v>1031</v>
      </c>
      <c r="G387" s="48">
        <v>0.1</v>
      </c>
      <c r="H387" s="46" t="s">
        <v>1032</v>
      </c>
      <c r="I387" s="47" t="s">
        <v>1031</v>
      </c>
      <c r="J387" s="48">
        <v>0.1</v>
      </c>
      <c r="K387" s="46" t="s">
        <v>1032</v>
      </c>
      <c r="L387" s="47" t="s">
        <v>1031</v>
      </c>
      <c r="M387" s="48">
        <v>0.3</v>
      </c>
      <c r="N387" s="46" t="s">
        <v>1032</v>
      </c>
      <c r="O387" s="47" t="s">
        <v>1031</v>
      </c>
      <c r="P387" s="48">
        <v>0.3</v>
      </c>
      <c r="Q387" s="46" t="s">
        <v>1032</v>
      </c>
      <c r="R387" s="47" t="s">
        <v>1031</v>
      </c>
      <c r="S387" s="48">
        <v>0.1</v>
      </c>
      <c r="T387" s="46" t="s">
        <v>1032</v>
      </c>
      <c r="U387" s="47" t="s">
        <v>1031</v>
      </c>
      <c r="V387" s="48">
        <v>0.2</v>
      </c>
      <c r="W387" s="46" t="s">
        <v>734</v>
      </c>
      <c r="X387" s="47" t="s">
        <v>2628</v>
      </c>
      <c r="Y387" s="48">
        <v>0.2</v>
      </c>
      <c r="Z387" s="49" t="s">
        <v>1033</v>
      </c>
      <c r="AA387" s="50" t="s">
        <v>1031</v>
      </c>
      <c r="AB387" s="51">
        <v>0.3</v>
      </c>
    </row>
    <row r="388" spans="1:28" ht="13.5" customHeight="1">
      <c r="A388" s="27"/>
      <c r="B388" s="44"/>
      <c r="C388" s="36"/>
      <c r="D388" s="6"/>
      <c r="E388" s="46" t="s">
        <v>1034</v>
      </c>
      <c r="F388" s="47" t="s">
        <v>1035</v>
      </c>
      <c r="G388" s="48">
        <v>0.4</v>
      </c>
      <c r="H388" s="46" t="s">
        <v>1034</v>
      </c>
      <c r="I388" s="47" t="s">
        <v>1035</v>
      </c>
      <c r="J388" s="48">
        <v>0.5</v>
      </c>
      <c r="K388" s="46" t="s">
        <v>1034</v>
      </c>
      <c r="L388" s="47" t="s">
        <v>2629</v>
      </c>
      <c r="M388" s="48">
        <v>0.3</v>
      </c>
      <c r="N388" s="46" t="s">
        <v>1034</v>
      </c>
      <c r="O388" s="47" t="s">
        <v>2629</v>
      </c>
      <c r="P388" s="48">
        <v>0.3</v>
      </c>
      <c r="Q388" s="46" t="s">
        <v>1034</v>
      </c>
      <c r="R388" s="47" t="s">
        <v>1035</v>
      </c>
      <c r="S388" s="48">
        <v>0.3</v>
      </c>
      <c r="T388" s="46" t="s">
        <v>1034</v>
      </c>
      <c r="U388" s="47" t="s">
        <v>1035</v>
      </c>
      <c r="V388" s="48">
        <v>0.3</v>
      </c>
      <c r="W388" s="46" t="s">
        <v>1036</v>
      </c>
      <c r="X388" s="47" t="s">
        <v>2630</v>
      </c>
      <c r="Y388" s="48">
        <v>0.4</v>
      </c>
      <c r="Z388" s="49" t="s">
        <v>1037</v>
      </c>
      <c r="AA388" s="50" t="s">
        <v>1035</v>
      </c>
      <c r="AB388" s="51">
        <v>0.6</v>
      </c>
    </row>
    <row r="389" spans="1:28" ht="13.5" customHeight="1">
      <c r="A389" s="27"/>
      <c r="B389" s="44"/>
      <c r="C389" s="36"/>
      <c r="D389" s="6"/>
      <c r="E389" s="46" t="s">
        <v>1039</v>
      </c>
      <c r="F389" s="47" t="s">
        <v>3020</v>
      </c>
      <c r="G389" s="48">
        <v>0.2</v>
      </c>
      <c r="H389" s="46" t="s">
        <v>1039</v>
      </c>
      <c r="I389" s="47" t="s">
        <v>3020</v>
      </c>
      <c r="J389" s="48">
        <v>0.4</v>
      </c>
      <c r="K389" s="46" t="s">
        <v>1039</v>
      </c>
      <c r="L389" s="47" t="s">
        <v>2631</v>
      </c>
      <c r="M389" s="48">
        <v>0.1</v>
      </c>
      <c r="N389" s="46" t="s">
        <v>1039</v>
      </c>
      <c r="O389" s="47" t="s">
        <v>2631</v>
      </c>
      <c r="P389" s="48">
        <v>0.1</v>
      </c>
      <c r="Q389" s="46"/>
      <c r="R389" s="47"/>
      <c r="S389" s="48"/>
      <c r="T389" s="46"/>
      <c r="U389" s="47"/>
      <c r="V389" s="48"/>
      <c r="W389" s="46"/>
      <c r="X389" s="47"/>
      <c r="Y389" s="48"/>
      <c r="Z389" s="49"/>
      <c r="AA389" s="50"/>
      <c r="AB389" s="51"/>
    </row>
    <row r="390" spans="1:28" ht="13.5" customHeight="1">
      <c r="A390" s="27"/>
      <c r="B390" s="44"/>
      <c r="C390" s="36"/>
      <c r="D390" s="6"/>
      <c r="E390" s="46" t="s">
        <v>1041</v>
      </c>
      <c r="F390" s="47" t="s">
        <v>1038</v>
      </c>
      <c r="G390" s="48">
        <v>2.4</v>
      </c>
      <c r="H390" s="46" t="s">
        <v>1041</v>
      </c>
      <c r="I390" s="47" t="s">
        <v>1038</v>
      </c>
      <c r="J390" s="48">
        <v>2.9</v>
      </c>
      <c r="K390" s="46" t="s">
        <v>1041</v>
      </c>
      <c r="L390" s="47" t="s">
        <v>1038</v>
      </c>
      <c r="M390" s="48">
        <v>3.1</v>
      </c>
      <c r="N390" s="46" t="s">
        <v>1041</v>
      </c>
      <c r="O390" s="47" t="s">
        <v>1038</v>
      </c>
      <c r="P390" s="48">
        <v>2.2000000000000002</v>
      </c>
      <c r="Q390" s="46" t="s">
        <v>1039</v>
      </c>
      <c r="R390" s="47" t="s">
        <v>1038</v>
      </c>
      <c r="S390" s="48">
        <v>1.8</v>
      </c>
      <c r="T390" s="46" t="s">
        <v>1039</v>
      </c>
      <c r="U390" s="47" t="s">
        <v>1038</v>
      </c>
      <c r="V390" s="48">
        <v>2.2000000000000002</v>
      </c>
      <c r="W390" s="46" t="s">
        <v>685</v>
      </c>
      <c r="X390" s="47" t="s">
        <v>2632</v>
      </c>
      <c r="Y390" s="48">
        <v>2.2000000000000002</v>
      </c>
      <c r="Z390" s="49" t="s">
        <v>882</v>
      </c>
      <c r="AA390" s="50" t="s">
        <v>1038</v>
      </c>
      <c r="AB390" s="51">
        <v>3.9</v>
      </c>
    </row>
    <row r="391" spans="1:28" ht="13.5" customHeight="1">
      <c r="A391" s="27"/>
      <c r="B391" s="44"/>
      <c r="C391" s="36"/>
      <c r="D391" s="6"/>
      <c r="E391" s="46" t="s">
        <v>1046</v>
      </c>
      <c r="F391" s="47" t="s">
        <v>1040</v>
      </c>
      <c r="G391" s="48">
        <v>1.1000000000000001</v>
      </c>
      <c r="H391" s="46" t="s">
        <v>1046</v>
      </c>
      <c r="I391" s="47" t="s">
        <v>1040</v>
      </c>
      <c r="J391" s="48">
        <v>1.3</v>
      </c>
      <c r="K391" s="46" t="s">
        <v>1046</v>
      </c>
      <c r="L391" s="47" t="s">
        <v>1040</v>
      </c>
      <c r="M391" s="48">
        <v>1.8</v>
      </c>
      <c r="N391" s="46" t="s">
        <v>1046</v>
      </c>
      <c r="O391" s="47" t="s">
        <v>1040</v>
      </c>
      <c r="P391" s="48">
        <v>1.6</v>
      </c>
      <c r="Q391" s="46" t="s">
        <v>1041</v>
      </c>
      <c r="R391" s="47" t="s">
        <v>1040</v>
      </c>
      <c r="S391" s="48">
        <v>1.5</v>
      </c>
      <c r="T391" s="46" t="s">
        <v>1041</v>
      </c>
      <c r="U391" s="47" t="s">
        <v>1040</v>
      </c>
      <c r="V391" s="48">
        <v>1.5</v>
      </c>
      <c r="W391" s="46" t="s">
        <v>682</v>
      </c>
      <c r="X391" s="47" t="s">
        <v>2633</v>
      </c>
      <c r="Y391" s="48">
        <v>1.5</v>
      </c>
      <c r="Z391" s="49"/>
      <c r="AA391" s="50"/>
      <c r="AB391" s="51"/>
    </row>
    <row r="392" spans="1:28" ht="13.5" customHeight="1">
      <c r="A392" s="27"/>
      <c r="B392" s="44"/>
      <c r="C392" s="36"/>
      <c r="D392" s="6"/>
      <c r="E392" s="46"/>
      <c r="F392" s="47"/>
      <c r="G392" s="48"/>
      <c r="H392" s="46"/>
      <c r="I392" s="47"/>
      <c r="J392" s="48"/>
      <c r="K392" s="46"/>
      <c r="L392" s="47"/>
      <c r="M392" s="48"/>
      <c r="N392" s="46"/>
      <c r="O392" s="47"/>
      <c r="P392" s="48"/>
      <c r="Q392" s="46"/>
      <c r="R392" s="47"/>
      <c r="S392" s="48"/>
      <c r="T392" s="46"/>
      <c r="U392" s="47"/>
      <c r="V392" s="48"/>
      <c r="W392" s="46" t="s">
        <v>1042</v>
      </c>
      <c r="X392" s="47" t="s">
        <v>2634</v>
      </c>
      <c r="Y392" s="48">
        <v>1.1000000000000001</v>
      </c>
      <c r="Z392" s="49" t="s">
        <v>1043</v>
      </c>
      <c r="AA392" s="50" t="s">
        <v>1044</v>
      </c>
      <c r="AB392" s="51">
        <v>0.6</v>
      </c>
    </row>
    <row r="393" spans="1:28" ht="13.5" customHeight="1">
      <c r="A393" s="27"/>
      <c r="B393" s="44"/>
      <c r="C393" s="36"/>
      <c r="D393" s="6"/>
      <c r="E393" s="46" t="s">
        <v>1048</v>
      </c>
      <c r="F393" s="47" t="s">
        <v>1045</v>
      </c>
      <c r="G393" s="48">
        <v>1.5</v>
      </c>
      <c r="H393" s="46" t="s">
        <v>1048</v>
      </c>
      <c r="I393" s="47" t="s">
        <v>1045</v>
      </c>
      <c r="J393" s="48">
        <v>2.2000000000000002</v>
      </c>
      <c r="K393" s="46" t="s">
        <v>1048</v>
      </c>
      <c r="L393" s="47" t="s">
        <v>1045</v>
      </c>
      <c r="M393" s="48">
        <v>2.2999999999999998</v>
      </c>
      <c r="N393" s="46" t="s">
        <v>1048</v>
      </c>
      <c r="O393" s="47" t="s">
        <v>1045</v>
      </c>
      <c r="P393" s="48">
        <v>1.1000000000000001</v>
      </c>
      <c r="Q393" s="46" t="s">
        <v>1046</v>
      </c>
      <c r="R393" s="47" t="s">
        <v>1045</v>
      </c>
      <c r="S393" s="48">
        <v>1.2</v>
      </c>
      <c r="T393" s="46" t="s">
        <v>1046</v>
      </c>
      <c r="U393" s="47" t="s">
        <v>1045</v>
      </c>
      <c r="V393" s="48">
        <v>1.2</v>
      </c>
      <c r="W393" s="46" t="s">
        <v>727</v>
      </c>
      <c r="X393" s="47" t="s">
        <v>2635</v>
      </c>
      <c r="Y393" s="48">
        <v>2.7</v>
      </c>
      <c r="Z393" s="49" t="s">
        <v>880</v>
      </c>
      <c r="AA393" s="50" t="s">
        <v>1045</v>
      </c>
      <c r="AB393" s="51">
        <v>1.4</v>
      </c>
    </row>
    <row r="394" spans="1:28" ht="13.5" customHeight="1">
      <c r="A394" s="27"/>
      <c r="B394" s="44"/>
      <c r="C394" s="36"/>
      <c r="D394" s="6"/>
      <c r="E394" s="46" t="s">
        <v>1049</v>
      </c>
      <c r="F394" s="47" t="s">
        <v>1047</v>
      </c>
      <c r="G394" s="48">
        <v>0.4</v>
      </c>
      <c r="H394" s="46" t="s">
        <v>1049</v>
      </c>
      <c r="I394" s="47" t="s">
        <v>1047</v>
      </c>
      <c r="J394" s="48">
        <v>0.4</v>
      </c>
      <c r="K394" s="46" t="s">
        <v>1049</v>
      </c>
      <c r="L394" s="47" t="s">
        <v>1047</v>
      </c>
      <c r="M394" s="48">
        <v>0.4</v>
      </c>
      <c r="N394" s="46" t="s">
        <v>1049</v>
      </c>
      <c r="O394" s="47" t="s">
        <v>1047</v>
      </c>
      <c r="P394" s="48">
        <v>0.2</v>
      </c>
      <c r="Q394" s="46" t="s">
        <v>1048</v>
      </c>
      <c r="R394" s="47" t="s">
        <v>1047</v>
      </c>
      <c r="S394" s="48">
        <v>0.1</v>
      </c>
      <c r="T394" s="46" t="s">
        <v>1048</v>
      </c>
      <c r="U394" s="47" t="s">
        <v>1047</v>
      </c>
      <c r="V394" s="48">
        <v>0.1</v>
      </c>
      <c r="W394" s="46" t="s">
        <v>680</v>
      </c>
      <c r="X394" s="47" t="s">
        <v>2636</v>
      </c>
      <c r="Y394" s="48">
        <v>0.2</v>
      </c>
      <c r="Z394" s="49" t="s">
        <v>872</v>
      </c>
      <c r="AA394" s="50" t="s">
        <v>1047</v>
      </c>
      <c r="AB394" s="51">
        <v>0.2</v>
      </c>
    </row>
    <row r="395" spans="1:28" ht="13.5" customHeight="1">
      <c r="A395" s="27"/>
      <c r="B395" s="44"/>
      <c r="C395" s="36"/>
      <c r="D395" s="6"/>
      <c r="E395" s="46"/>
      <c r="F395" s="47"/>
      <c r="G395" s="48"/>
      <c r="H395" s="46"/>
      <c r="I395" s="47"/>
      <c r="J395" s="48"/>
      <c r="K395" s="46"/>
      <c r="L395" s="47"/>
      <c r="M395" s="48"/>
      <c r="N395" s="46"/>
      <c r="O395" s="47"/>
      <c r="P395" s="48"/>
      <c r="Q395" s="46" t="s">
        <v>1049</v>
      </c>
      <c r="R395" s="47" t="s">
        <v>1050</v>
      </c>
      <c r="S395" s="48">
        <v>0.1</v>
      </c>
      <c r="T395" s="46" t="s">
        <v>1049</v>
      </c>
      <c r="U395" s="47" t="s">
        <v>1050</v>
      </c>
      <c r="V395" s="48">
        <v>0.1</v>
      </c>
      <c r="W395" s="46" t="s">
        <v>1051</v>
      </c>
      <c r="X395" s="47" t="s">
        <v>2637</v>
      </c>
      <c r="Y395" s="48">
        <v>0.1</v>
      </c>
      <c r="Z395" s="49" t="s">
        <v>1052</v>
      </c>
      <c r="AA395" s="50" t="s">
        <v>1053</v>
      </c>
      <c r="AB395" s="51">
        <v>0.2</v>
      </c>
    </row>
    <row r="396" spans="1:28" ht="13.5" customHeight="1">
      <c r="A396" s="27"/>
      <c r="B396" s="44"/>
      <c r="C396" s="36"/>
      <c r="D396" s="6"/>
      <c r="E396" s="46" t="s">
        <v>1055</v>
      </c>
      <c r="F396" s="47" t="s">
        <v>1054</v>
      </c>
      <c r="G396" s="48">
        <v>0.6</v>
      </c>
      <c r="H396" s="46" t="s">
        <v>1055</v>
      </c>
      <c r="I396" s="47" t="s">
        <v>1054</v>
      </c>
      <c r="J396" s="48">
        <v>1.1000000000000001</v>
      </c>
      <c r="K396" s="46" t="s">
        <v>1055</v>
      </c>
      <c r="L396" s="47" t="s">
        <v>1054</v>
      </c>
      <c r="M396" s="48">
        <v>0.6</v>
      </c>
      <c r="N396" s="46" t="s">
        <v>1055</v>
      </c>
      <c r="O396" s="47" t="s">
        <v>1054</v>
      </c>
      <c r="P396" s="48">
        <v>0.4</v>
      </c>
      <c r="Q396" s="46" t="s">
        <v>1055</v>
      </c>
      <c r="R396" s="47" t="s">
        <v>1054</v>
      </c>
      <c r="S396" s="48">
        <v>0.3</v>
      </c>
      <c r="T396" s="46" t="s">
        <v>1055</v>
      </c>
      <c r="U396" s="47" t="s">
        <v>1054</v>
      </c>
      <c r="V396" s="48">
        <v>0.2</v>
      </c>
      <c r="W396" s="46" t="s">
        <v>1056</v>
      </c>
      <c r="X396" s="47" t="s">
        <v>2638</v>
      </c>
      <c r="Y396" s="48">
        <v>0.2</v>
      </c>
      <c r="Z396" s="49"/>
      <c r="AA396" s="50"/>
      <c r="AB396" s="51"/>
    </row>
    <row r="397" spans="1:28" ht="13.5" customHeight="1">
      <c r="A397" s="27"/>
      <c r="B397" s="44"/>
      <c r="C397" s="36"/>
      <c r="D397" s="6"/>
      <c r="E397" s="46" t="s">
        <v>1058</v>
      </c>
      <c r="F397" s="47" t="s">
        <v>1057</v>
      </c>
      <c r="G397" s="48">
        <v>1</v>
      </c>
      <c r="H397" s="46" t="s">
        <v>1058</v>
      </c>
      <c r="I397" s="47" t="s">
        <v>1057</v>
      </c>
      <c r="J397" s="48">
        <v>1.8</v>
      </c>
      <c r="K397" s="46" t="s">
        <v>1058</v>
      </c>
      <c r="L397" s="47" t="s">
        <v>1057</v>
      </c>
      <c r="M397" s="48">
        <v>1.6</v>
      </c>
      <c r="N397" s="46" t="s">
        <v>1058</v>
      </c>
      <c r="O397" s="47" t="s">
        <v>1057</v>
      </c>
      <c r="P397" s="48">
        <v>1.1000000000000001</v>
      </c>
      <c r="Q397" s="46" t="s">
        <v>1058</v>
      </c>
      <c r="R397" s="47" t="s">
        <v>1057</v>
      </c>
      <c r="S397" s="48">
        <v>1</v>
      </c>
      <c r="T397" s="46" t="s">
        <v>1058</v>
      </c>
      <c r="U397" s="47" t="s">
        <v>1057</v>
      </c>
      <c r="V397" s="48">
        <v>0.9</v>
      </c>
      <c r="W397" s="46" t="s">
        <v>731</v>
      </c>
      <c r="X397" s="47" t="s">
        <v>2639</v>
      </c>
      <c r="Y397" s="48">
        <v>1.3</v>
      </c>
      <c r="Z397" s="49" t="s">
        <v>889</v>
      </c>
      <c r="AA397" s="50" t="s">
        <v>1057</v>
      </c>
      <c r="AB397" s="51">
        <v>1</v>
      </c>
    </row>
    <row r="398" spans="1:28" ht="13.5" customHeight="1">
      <c r="A398" s="27"/>
      <c r="B398" s="44"/>
      <c r="C398" s="36"/>
      <c r="D398" s="6"/>
      <c r="E398" s="46" t="s">
        <v>1071</v>
      </c>
      <c r="F398" s="47" t="s">
        <v>1059</v>
      </c>
      <c r="G398" s="48">
        <v>1.1000000000000001</v>
      </c>
      <c r="H398" s="46" t="s">
        <v>1071</v>
      </c>
      <c r="I398" s="47" t="s">
        <v>1059</v>
      </c>
      <c r="J398" s="48">
        <v>1.3</v>
      </c>
      <c r="K398" s="46" t="s">
        <v>1060</v>
      </c>
      <c r="L398" s="47" t="s">
        <v>1059</v>
      </c>
      <c r="M398" s="48">
        <v>0.6</v>
      </c>
      <c r="N398" s="46" t="s">
        <v>1060</v>
      </c>
      <c r="O398" s="47" t="s">
        <v>1059</v>
      </c>
      <c r="P398" s="48">
        <v>0.6</v>
      </c>
      <c r="Q398" s="46" t="s">
        <v>1060</v>
      </c>
      <c r="R398" s="47" t="s">
        <v>1059</v>
      </c>
      <c r="S398" s="48">
        <v>0.5</v>
      </c>
      <c r="T398" s="46" t="s">
        <v>1060</v>
      </c>
      <c r="U398" s="47" t="s">
        <v>1059</v>
      </c>
      <c r="V398" s="48">
        <v>0.5</v>
      </c>
      <c r="W398" s="46" t="s">
        <v>1061</v>
      </c>
      <c r="X398" s="47" t="s">
        <v>2640</v>
      </c>
      <c r="Y398" s="48">
        <v>0.6</v>
      </c>
      <c r="Z398" s="49" t="s">
        <v>1062</v>
      </c>
      <c r="AA398" s="50" t="s">
        <v>1063</v>
      </c>
      <c r="AB398" s="51">
        <v>0.5</v>
      </c>
    </row>
    <row r="399" spans="1:28" ht="13.5" customHeight="1">
      <c r="A399" s="27"/>
      <c r="B399" s="44"/>
      <c r="C399" s="36"/>
      <c r="D399" s="6"/>
      <c r="E399" s="46"/>
      <c r="F399" s="47"/>
      <c r="G399" s="48"/>
      <c r="H399" s="46"/>
      <c r="I399" s="47"/>
      <c r="J399" s="48"/>
      <c r="K399" s="46"/>
      <c r="L399" s="47"/>
      <c r="M399" s="48"/>
      <c r="N399" s="46"/>
      <c r="O399" s="47"/>
      <c r="P399" s="48"/>
      <c r="Q399" s="46"/>
      <c r="R399" s="47"/>
      <c r="S399" s="48"/>
      <c r="T399" s="46"/>
      <c r="U399" s="47"/>
      <c r="V399" s="48"/>
      <c r="W399" s="46"/>
      <c r="X399" s="47"/>
      <c r="Y399" s="48"/>
      <c r="Z399" s="49" t="s">
        <v>1064</v>
      </c>
      <c r="AA399" s="50" t="s">
        <v>1065</v>
      </c>
      <c r="AB399" s="51">
        <v>0.1</v>
      </c>
    </row>
    <row r="400" spans="1:28" ht="13.5" customHeight="1">
      <c r="A400" s="27"/>
      <c r="B400" s="44"/>
      <c r="C400" s="36"/>
      <c r="D400" s="6"/>
      <c r="E400" s="46"/>
      <c r="F400" s="47"/>
      <c r="G400" s="48"/>
      <c r="H400" s="46"/>
      <c r="I400" s="47"/>
      <c r="J400" s="48"/>
      <c r="K400" s="46"/>
      <c r="L400" s="47"/>
      <c r="M400" s="48"/>
      <c r="N400" s="46"/>
      <c r="O400" s="47"/>
      <c r="P400" s="48"/>
      <c r="Q400" s="46"/>
      <c r="R400" s="47"/>
      <c r="S400" s="48"/>
      <c r="T400" s="46"/>
      <c r="U400" s="47"/>
      <c r="V400" s="48"/>
      <c r="W400" s="46"/>
      <c r="X400" s="47"/>
      <c r="Y400" s="48"/>
      <c r="Z400" s="49" t="s">
        <v>1066</v>
      </c>
      <c r="AA400" s="50" t="s">
        <v>1067</v>
      </c>
      <c r="AB400" s="51">
        <v>0.1</v>
      </c>
    </row>
    <row r="401" spans="1:28" ht="13.5" customHeight="1">
      <c r="A401" s="27"/>
      <c r="B401" s="44"/>
      <c r="C401" s="36"/>
      <c r="D401" s="6"/>
      <c r="E401" s="46"/>
      <c r="F401" s="47"/>
      <c r="G401" s="48"/>
      <c r="H401" s="46"/>
      <c r="I401" s="47"/>
      <c r="J401" s="48"/>
      <c r="K401" s="46"/>
      <c r="L401" s="47"/>
      <c r="M401" s="48"/>
      <c r="N401" s="46"/>
      <c r="O401" s="47"/>
      <c r="P401" s="48"/>
      <c r="Q401" s="46"/>
      <c r="R401" s="47"/>
      <c r="S401" s="48"/>
      <c r="T401" s="46"/>
      <c r="U401" s="47"/>
      <c r="V401" s="48"/>
      <c r="W401" s="46"/>
      <c r="X401" s="47"/>
      <c r="Y401" s="48"/>
      <c r="Z401" s="49"/>
      <c r="AA401" s="50"/>
      <c r="AB401" s="51"/>
    </row>
    <row r="402" spans="1:28" ht="13.5" customHeight="1">
      <c r="A402" s="27"/>
      <c r="B402" s="44"/>
      <c r="C402" s="36"/>
      <c r="D402" s="6"/>
      <c r="E402" s="46"/>
      <c r="F402" s="47"/>
      <c r="G402" s="48"/>
      <c r="H402" s="46"/>
      <c r="I402" s="47"/>
      <c r="J402" s="48"/>
      <c r="K402" s="46" t="s">
        <v>1069</v>
      </c>
      <c r="L402" s="47" t="s">
        <v>1068</v>
      </c>
      <c r="M402" s="48">
        <v>0.5</v>
      </c>
      <c r="N402" s="46" t="s">
        <v>1069</v>
      </c>
      <c r="O402" s="47" t="s">
        <v>1068</v>
      </c>
      <c r="P402" s="48">
        <v>0.7</v>
      </c>
      <c r="Q402" s="46" t="s">
        <v>1069</v>
      </c>
      <c r="R402" s="47" t="s">
        <v>1068</v>
      </c>
      <c r="S402" s="48">
        <v>0.6</v>
      </c>
      <c r="T402" s="46" t="s">
        <v>1069</v>
      </c>
      <c r="U402" s="47" t="s">
        <v>1068</v>
      </c>
      <c r="V402" s="48">
        <v>0.3</v>
      </c>
      <c r="W402" s="46" t="s">
        <v>1070</v>
      </c>
      <c r="X402" s="47" t="s">
        <v>2641</v>
      </c>
      <c r="Y402" s="48">
        <v>0.3</v>
      </c>
      <c r="Z402" s="49" t="s">
        <v>876</v>
      </c>
      <c r="AA402" s="50" t="s">
        <v>1068</v>
      </c>
      <c r="AB402" s="51">
        <v>0.3</v>
      </c>
    </row>
    <row r="403" spans="1:28" ht="13.5" customHeight="1">
      <c r="A403" s="27"/>
      <c r="B403" s="44"/>
      <c r="C403" s="36"/>
      <c r="D403" s="6"/>
      <c r="E403" s="46" t="s">
        <v>3021</v>
      </c>
      <c r="F403" s="47" t="s">
        <v>3022</v>
      </c>
      <c r="G403" s="48">
        <v>0.4</v>
      </c>
      <c r="H403" s="46" t="s">
        <v>3021</v>
      </c>
      <c r="I403" s="47" t="s">
        <v>3022</v>
      </c>
      <c r="J403" s="48">
        <v>0.5</v>
      </c>
      <c r="K403" s="46" t="s">
        <v>1071</v>
      </c>
      <c r="L403" s="47" t="s">
        <v>2642</v>
      </c>
      <c r="M403" s="48">
        <v>0.3</v>
      </c>
      <c r="N403" s="46" t="s">
        <v>1071</v>
      </c>
      <c r="O403" s="47" t="s">
        <v>2642</v>
      </c>
      <c r="P403" s="48">
        <v>0.3</v>
      </c>
      <c r="Q403" s="46" t="s">
        <v>1071</v>
      </c>
      <c r="R403" s="47" t="s">
        <v>1072</v>
      </c>
      <c r="S403" s="58">
        <v>0.4</v>
      </c>
      <c r="T403" s="46" t="s">
        <v>1071</v>
      </c>
      <c r="U403" s="47" t="s">
        <v>1072</v>
      </c>
      <c r="V403" s="58">
        <v>0.3</v>
      </c>
      <c r="W403" s="57"/>
      <c r="X403" s="56"/>
      <c r="Y403" s="58"/>
      <c r="Z403" s="59"/>
      <c r="AA403" s="60"/>
      <c r="AB403" s="61"/>
    </row>
    <row r="404" spans="1:28" ht="13.5" customHeight="1">
      <c r="A404" s="27"/>
      <c r="B404" s="44"/>
      <c r="C404" s="36"/>
      <c r="D404" s="6"/>
      <c r="E404" s="46"/>
      <c r="F404" s="56"/>
      <c r="G404" s="48"/>
      <c r="H404" s="46"/>
      <c r="I404" s="56"/>
      <c r="J404" s="48"/>
      <c r="K404" s="46" t="s">
        <v>1074</v>
      </c>
      <c r="L404" s="56" t="s">
        <v>1073</v>
      </c>
      <c r="M404" s="48">
        <v>0.5</v>
      </c>
      <c r="N404" s="46" t="s">
        <v>1074</v>
      </c>
      <c r="O404" s="56" t="s">
        <v>1073</v>
      </c>
      <c r="P404" s="48">
        <v>0.3</v>
      </c>
      <c r="Q404" s="57" t="s">
        <v>1074</v>
      </c>
      <c r="R404" s="56" t="s">
        <v>1073</v>
      </c>
      <c r="S404" s="58">
        <v>0.4</v>
      </c>
      <c r="T404" s="57" t="s">
        <v>1074</v>
      </c>
      <c r="U404" s="56" t="s">
        <v>1073</v>
      </c>
      <c r="V404" s="58">
        <v>0.5</v>
      </c>
      <c r="W404" s="57" t="s">
        <v>1075</v>
      </c>
      <c r="X404" s="56" t="s">
        <v>1073</v>
      </c>
      <c r="Y404" s="58">
        <v>0.3</v>
      </c>
      <c r="Z404" s="59"/>
      <c r="AA404" s="60"/>
      <c r="AB404" s="61"/>
    </row>
    <row r="405" spans="1:28" ht="13.5" customHeight="1">
      <c r="A405" s="27"/>
      <c r="B405" s="44"/>
      <c r="C405" s="36"/>
      <c r="D405" s="6"/>
      <c r="E405" s="46" t="s">
        <v>1060</v>
      </c>
      <c r="F405" s="56" t="s">
        <v>3023</v>
      </c>
      <c r="G405" s="48">
        <v>1.1000000000000001</v>
      </c>
      <c r="H405" s="46" t="s">
        <v>1060</v>
      </c>
      <c r="I405" s="56" t="s">
        <v>3023</v>
      </c>
      <c r="J405" s="48">
        <v>1.7</v>
      </c>
      <c r="K405" s="46"/>
      <c r="L405" s="56"/>
      <c r="M405" s="48"/>
      <c r="N405" s="46"/>
      <c r="O405" s="56"/>
      <c r="P405" s="48"/>
      <c r="Q405" s="57"/>
      <c r="R405" s="56"/>
      <c r="S405" s="58"/>
      <c r="T405" s="57"/>
      <c r="U405" s="56"/>
      <c r="V405" s="58"/>
      <c r="W405" s="57"/>
      <c r="X405" s="56"/>
      <c r="Y405" s="58"/>
      <c r="Z405" s="59"/>
      <c r="AA405" s="60"/>
      <c r="AB405" s="61"/>
    </row>
    <row r="406" spans="1:28" ht="13.5" customHeight="1">
      <c r="A406" s="27"/>
      <c r="B406" s="44"/>
      <c r="C406" s="36"/>
      <c r="D406" s="6"/>
      <c r="E406" s="46" t="s">
        <v>1069</v>
      </c>
      <c r="F406" s="56" t="s">
        <v>1067</v>
      </c>
      <c r="G406" s="48">
        <v>0.2</v>
      </c>
      <c r="H406" s="46" t="s">
        <v>1069</v>
      </c>
      <c r="I406" s="56" t="s">
        <v>1067</v>
      </c>
      <c r="J406" s="48">
        <v>0.5</v>
      </c>
      <c r="K406" s="46"/>
      <c r="L406" s="56"/>
      <c r="M406" s="48"/>
      <c r="N406" s="46"/>
      <c r="O406" s="56"/>
      <c r="P406" s="48"/>
      <c r="Q406" s="57"/>
      <c r="R406" s="56"/>
      <c r="S406" s="58"/>
      <c r="T406" s="57"/>
      <c r="U406" s="56"/>
      <c r="V406" s="58"/>
      <c r="W406" s="57"/>
      <c r="X406" s="56"/>
      <c r="Y406" s="58"/>
      <c r="Z406" s="59"/>
      <c r="AA406" s="60"/>
      <c r="AB406" s="61"/>
    </row>
    <row r="407" spans="1:28" ht="13.5" customHeight="1">
      <c r="A407" s="27"/>
      <c r="B407" s="44"/>
      <c r="C407" s="82"/>
      <c r="D407" s="6"/>
      <c r="E407" s="46" t="s">
        <v>1074</v>
      </c>
      <c r="F407" s="75" t="s">
        <v>3024</v>
      </c>
      <c r="G407" s="48">
        <v>0.8</v>
      </c>
      <c r="H407" s="46" t="s">
        <v>1074</v>
      </c>
      <c r="I407" s="75" t="s">
        <v>3024</v>
      </c>
      <c r="J407" s="48">
        <v>1</v>
      </c>
      <c r="K407" s="46"/>
      <c r="L407" s="75"/>
      <c r="M407" s="48"/>
      <c r="N407" s="46"/>
      <c r="O407" s="75"/>
      <c r="P407" s="48"/>
      <c r="Q407" s="76"/>
      <c r="R407" s="75"/>
      <c r="S407" s="77"/>
      <c r="T407" s="76"/>
      <c r="U407" s="75"/>
      <c r="V407" s="77"/>
      <c r="W407" s="76"/>
      <c r="X407" s="75"/>
      <c r="Y407" s="77"/>
      <c r="Z407" s="78"/>
      <c r="AA407" s="79"/>
      <c r="AB407" s="80"/>
    </row>
    <row r="408" spans="1:28" ht="13.5" customHeight="1">
      <c r="A408" s="27"/>
      <c r="B408" s="44"/>
      <c r="C408" s="28" t="s">
        <v>1076</v>
      </c>
      <c r="D408" s="30" t="s">
        <v>1077</v>
      </c>
      <c r="E408" s="37" t="s">
        <v>1078</v>
      </c>
      <c r="F408" s="71"/>
      <c r="G408" s="39">
        <f>SUM(G409:G410)</f>
        <v>4.9000000000000004</v>
      </c>
      <c r="H408" s="37" t="s">
        <v>1078</v>
      </c>
      <c r="I408" s="71"/>
      <c r="J408" s="39">
        <f>SUM(J409:J410)</f>
        <v>5</v>
      </c>
      <c r="K408" s="37" t="s">
        <v>1078</v>
      </c>
      <c r="L408" s="71"/>
      <c r="M408" s="39">
        <f>SUM(M409:M410)</f>
        <v>3.4000000000000004</v>
      </c>
      <c r="N408" s="37" t="s">
        <v>1078</v>
      </c>
      <c r="O408" s="71"/>
      <c r="P408" s="39">
        <f>SUM(P409:P410)</f>
        <v>4</v>
      </c>
      <c r="Q408" s="37" t="s">
        <v>1078</v>
      </c>
      <c r="R408" s="71"/>
      <c r="S408" s="39">
        <f>SUM(S409:S410)</f>
        <v>3.8</v>
      </c>
      <c r="T408" s="37" t="s">
        <v>1078</v>
      </c>
      <c r="U408" s="71"/>
      <c r="V408" s="39">
        <f>SUM(V409:V410)</f>
        <v>3.1</v>
      </c>
      <c r="W408" s="72"/>
      <c r="X408" s="71"/>
      <c r="Y408" s="39">
        <f>SUM(Y409:Y410)</f>
        <v>0.4</v>
      </c>
      <c r="Z408" s="42"/>
      <c r="AA408" s="43"/>
      <c r="AB408" s="39">
        <f>SUM(AB409:AB410)</f>
        <v>0.2</v>
      </c>
    </row>
    <row r="409" spans="1:28" ht="13.5" customHeight="1">
      <c r="A409" s="27"/>
      <c r="B409" s="138"/>
      <c r="C409" s="44"/>
      <c r="D409" s="45"/>
      <c r="E409" s="46" t="s">
        <v>1080</v>
      </c>
      <c r="F409" s="155" t="s">
        <v>1079</v>
      </c>
      <c r="G409" s="48">
        <v>2.4</v>
      </c>
      <c r="H409" s="46" t="s">
        <v>1080</v>
      </c>
      <c r="I409" s="155" t="s">
        <v>1079</v>
      </c>
      <c r="J409" s="48">
        <v>2.4</v>
      </c>
      <c r="K409" s="46" t="s">
        <v>1080</v>
      </c>
      <c r="L409" s="155" t="s">
        <v>1079</v>
      </c>
      <c r="M409" s="48">
        <v>1.6</v>
      </c>
      <c r="N409" s="46" t="s">
        <v>1080</v>
      </c>
      <c r="O409" s="155" t="s">
        <v>1079</v>
      </c>
      <c r="P409" s="48">
        <v>1.9</v>
      </c>
      <c r="Q409" s="156" t="s">
        <v>1080</v>
      </c>
      <c r="R409" s="155" t="s">
        <v>1079</v>
      </c>
      <c r="S409" s="157">
        <v>1.8</v>
      </c>
      <c r="T409" s="156" t="s">
        <v>1080</v>
      </c>
      <c r="U409" s="155" t="s">
        <v>1079</v>
      </c>
      <c r="V409" s="157">
        <v>1.5</v>
      </c>
      <c r="W409" s="156" t="s">
        <v>1081</v>
      </c>
      <c r="X409" s="155" t="s">
        <v>2643</v>
      </c>
      <c r="Y409" s="157">
        <v>0.4</v>
      </c>
      <c r="Z409" s="158" t="s">
        <v>1082</v>
      </c>
      <c r="AA409" s="159" t="s">
        <v>1079</v>
      </c>
      <c r="AB409" s="160">
        <v>0.2</v>
      </c>
    </row>
    <row r="410" spans="1:28" ht="13.5" customHeight="1">
      <c r="A410" s="27"/>
      <c r="B410" s="161"/>
      <c r="C410" s="114"/>
      <c r="D410" s="140"/>
      <c r="E410" s="46" t="s">
        <v>1084</v>
      </c>
      <c r="F410" s="75" t="s">
        <v>1083</v>
      </c>
      <c r="G410" s="48">
        <v>2.5</v>
      </c>
      <c r="H410" s="46" t="s">
        <v>1084</v>
      </c>
      <c r="I410" s="75" t="s">
        <v>1083</v>
      </c>
      <c r="J410" s="48">
        <v>2.6</v>
      </c>
      <c r="K410" s="46" t="s">
        <v>1084</v>
      </c>
      <c r="L410" s="75" t="s">
        <v>1083</v>
      </c>
      <c r="M410" s="48">
        <v>1.8</v>
      </c>
      <c r="N410" s="46" t="s">
        <v>1084</v>
      </c>
      <c r="O410" s="75" t="s">
        <v>1083</v>
      </c>
      <c r="P410" s="48">
        <v>2.1</v>
      </c>
      <c r="Q410" s="76" t="s">
        <v>1084</v>
      </c>
      <c r="R410" s="75" t="s">
        <v>1083</v>
      </c>
      <c r="S410" s="146">
        <v>2</v>
      </c>
      <c r="T410" s="76" t="s">
        <v>1084</v>
      </c>
      <c r="U410" s="75" t="s">
        <v>1083</v>
      </c>
      <c r="V410" s="146">
        <v>1.6</v>
      </c>
      <c r="W410" s="96"/>
      <c r="X410" s="88"/>
      <c r="Y410" s="146"/>
      <c r="Z410" s="90"/>
      <c r="AA410" s="91"/>
      <c r="AB410" s="147"/>
    </row>
    <row r="411" spans="1:28" ht="13.5" customHeight="1">
      <c r="A411" s="27"/>
      <c r="B411" s="36" t="s">
        <v>1085</v>
      </c>
      <c r="C411" s="21"/>
      <c r="D411" s="6" t="s">
        <v>1086</v>
      </c>
      <c r="E411" s="31" t="s">
        <v>1087</v>
      </c>
      <c r="F411" s="118"/>
      <c r="G411" s="33">
        <f>G412</f>
        <v>3.9999999999999996</v>
      </c>
      <c r="H411" s="31" t="s">
        <v>1087</v>
      </c>
      <c r="I411" s="118"/>
      <c r="J411" s="33">
        <f>J412</f>
        <v>4.5</v>
      </c>
      <c r="K411" s="31" t="s">
        <v>1087</v>
      </c>
      <c r="L411" s="118"/>
      <c r="M411" s="33">
        <f>M412</f>
        <v>3.9999999999999996</v>
      </c>
      <c r="N411" s="31" t="s">
        <v>1087</v>
      </c>
      <c r="O411" s="118"/>
      <c r="P411" s="33">
        <f>P412</f>
        <v>4.1000000000000005</v>
      </c>
      <c r="Q411" s="31" t="s">
        <v>1087</v>
      </c>
      <c r="R411" s="118"/>
      <c r="S411" s="33">
        <f>S412</f>
        <v>3.7</v>
      </c>
      <c r="T411" s="31" t="s">
        <v>1087</v>
      </c>
      <c r="U411" s="118"/>
      <c r="V411" s="33">
        <f>V412</f>
        <v>3.4000000000000004</v>
      </c>
      <c r="W411" s="162"/>
      <c r="X411" s="118"/>
      <c r="Y411" s="33">
        <f>Y412</f>
        <v>2.5</v>
      </c>
      <c r="Z411" s="65"/>
      <c r="AA411" s="66"/>
      <c r="AB411" s="33">
        <f>AB412</f>
        <v>3.6000000000000005</v>
      </c>
    </row>
    <row r="412" spans="1:28" ht="13.5" customHeight="1">
      <c r="A412" s="27"/>
      <c r="B412" s="36"/>
      <c r="C412" s="28" t="s">
        <v>1088</v>
      </c>
      <c r="D412" s="30" t="s">
        <v>1086</v>
      </c>
      <c r="E412" s="37" t="s">
        <v>1089</v>
      </c>
      <c r="F412" s="41"/>
      <c r="G412" s="39">
        <f>SUM(G413:G429)</f>
        <v>3.9999999999999996</v>
      </c>
      <c r="H412" s="37" t="s">
        <v>1089</v>
      </c>
      <c r="I412" s="41"/>
      <c r="J412" s="39">
        <f>SUM(J413:J429)</f>
        <v>4.5</v>
      </c>
      <c r="K412" s="37" t="s">
        <v>1089</v>
      </c>
      <c r="L412" s="41"/>
      <c r="M412" s="39">
        <f>SUM(M413:M429)</f>
        <v>3.9999999999999996</v>
      </c>
      <c r="N412" s="37" t="s">
        <v>1089</v>
      </c>
      <c r="O412" s="41"/>
      <c r="P412" s="39">
        <f>SUM(P413:P429)</f>
        <v>4.1000000000000005</v>
      </c>
      <c r="Q412" s="37" t="s">
        <v>1089</v>
      </c>
      <c r="R412" s="41"/>
      <c r="S412" s="39">
        <f>SUM(S413:S429)</f>
        <v>3.7</v>
      </c>
      <c r="T412" s="37" t="s">
        <v>1089</v>
      </c>
      <c r="U412" s="41"/>
      <c r="V412" s="39">
        <f>SUM(V413:V429)</f>
        <v>3.4000000000000004</v>
      </c>
      <c r="W412" s="97"/>
      <c r="X412" s="41"/>
      <c r="Y412" s="39">
        <f>SUM(Y413:Y429)</f>
        <v>2.5</v>
      </c>
      <c r="Z412" s="42"/>
      <c r="AA412" s="43"/>
      <c r="AB412" s="39">
        <f>SUM(AB413:AB429)</f>
        <v>3.6000000000000005</v>
      </c>
    </row>
    <row r="413" spans="1:28" ht="13.5" customHeight="1">
      <c r="A413" s="27"/>
      <c r="B413" s="36"/>
      <c r="C413" s="36"/>
      <c r="D413" s="6"/>
      <c r="E413" s="46" t="s">
        <v>1091</v>
      </c>
      <c r="F413" s="47" t="s">
        <v>1090</v>
      </c>
      <c r="G413" s="48">
        <v>0.8</v>
      </c>
      <c r="H413" s="46" t="s">
        <v>1091</v>
      </c>
      <c r="I413" s="47" t="s">
        <v>1090</v>
      </c>
      <c r="J413" s="48">
        <v>0.9</v>
      </c>
      <c r="K413" s="46" t="s">
        <v>1091</v>
      </c>
      <c r="L413" s="47" t="s">
        <v>1090</v>
      </c>
      <c r="M413" s="48">
        <v>1</v>
      </c>
      <c r="N413" s="46" t="s">
        <v>1091</v>
      </c>
      <c r="O413" s="47" t="s">
        <v>1090</v>
      </c>
      <c r="P413" s="48">
        <v>1</v>
      </c>
      <c r="Q413" s="46" t="s">
        <v>1091</v>
      </c>
      <c r="R413" s="47" t="s">
        <v>1090</v>
      </c>
      <c r="S413" s="48">
        <v>0.9</v>
      </c>
      <c r="T413" s="46" t="s">
        <v>1091</v>
      </c>
      <c r="U413" s="47" t="s">
        <v>1090</v>
      </c>
      <c r="V413" s="48">
        <v>0.9</v>
      </c>
      <c r="W413" s="46" t="s">
        <v>786</v>
      </c>
      <c r="X413" s="47" t="s">
        <v>2644</v>
      </c>
      <c r="Y413" s="48">
        <v>0.3</v>
      </c>
      <c r="Z413" s="49" t="s">
        <v>915</v>
      </c>
      <c r="AA413" s="50" t="s">
        <v>1092</v>
      </c>
      <c r="AB413" s="51">
        <v>0.3</v>
      </c>
    </row>
    <row r="414" spans="1:28" ht="13.5" customHeight="1">
      <c r="A414" s="27"/>
      <c r="B414" s="144"/>
      <c r="C414" s="21"/>
      <c r="D414" s="45"/>
      <c r="E414" s="46"/>
      <c r="F414" s="47"/>
      <c r="G414" s="48"/>
      <c r="H414" s="46"/>
      <c r="I414" s="47"/>
      <c r="J414" s="48"/>
      <c r="K414" s="46"/>
      <c r="L414" s="47"/>
      <c r="M414" s="48"/>
      <c r="N414" s="46"/>
      <c r="O414" s="47"/>
      <c r="P414" s="48"/>
      <c r="Q414" s="46"/>
      <c r="R414" s="47"/>
      <c r="S414" s="48"/>
      <c r="T414" s="46"/>
      <c r="U414" s="47"/>
      <c r="V414" s="48"/>
      <c r="W414" s="46" t="s">
        <v>800</v>
      </c>
      <c r="X414" s="47" t="s">
        <v>2645</v>
      </c>
      <c r="Y414" s="48">
        <v>0.3</v>
      </c>
      <c r="Z414" s="49" t="s">
        <v>1093</v>
      </c>
      <c r="AA414" s="50" t="s">
        <v>1094</v>
      </c>
      <c r="AB414" s="51">
        <v>0.2</v>
      </c>
    </row>
    <row r="415" spans="1:28" ht="13.5" customHeight="1">
      <c r="A415" s="27"/>
      <c r="B415" s="44"/>
      <c r="C415" s="36"/>
      <c r="D415" s="6"/>
      <c r="E415" s="46" t="s">
        <v>1096</v>
      </c>
      <c r="F415" s="47" t="s">
        <v>1095</v>
      </c>
      <c r="G415" s="48">
        <v>0.5</v>
      </c>
      <c r="H415" s="46" t="s">
        <v>1096</v>
      </c>
      <c r="I415" s="47" t="s">
        <v>1095</v>
      </c>
      <c r="J415" s="48">
        <v>0.5</v>
      </c>
      <c r="K415" s="46" t="s">
        <v>1096</v>
      </c>
      <c r="L415" s="47" t="s">
        <v>1095</v>
      </c>
      <c r="M415" s="48">
        <v>0.3</v>
      </c>
      <c r="N415" s="46" t="s">
        <v>1096</v>
      </c>
      <c r="O415" s="47" t="s">
        <v>1095</v>
      </c>
      <c r="P415" s="48">
        <v>0.3</v>
      </c>
      <c r="Q415" s="46" t="s">
        <v>1096</v>
      </c>
      <c r="R415" s="47" t="s">
        <v>1095</v>
      </c>
      <c r="S415" s="48">
        <v>0.3</v>
      </c>
      <c r="T415" s="46" t="s">
        <v>1096</v>
      </c>
      <c r="U415" s="47" t="s">
        <v>1095</v>
      </c>
      <c r="V415" s="48">
        <v>0.2</v>
      </c>
      <c r="W415" s="46" t="s">
        <v>796</v>
      </c>
      <c r="X415" s="47" t="s">
        <v>2646</v>
      </c>
      <c r="Y415" s="48">
        <v>0.1</v>
      </c>
      <c r="Z415" s="49" t="s">
        <v>1097</v>
      </c>
      <c r="AA415" s="50" t="s">
        <v>1095</v>
      </c>
      <c r="AB415" s="51">
        <v>0.2</v>
      </c>
    </row>
    <row r="416" spans="1:28" ht="13.5" customHeight="1">
      <c r="A416" s="27"/>
      <c r="B416" s="44"/>
      <c r="C416" s="36"/>
      <c r="D416" s="6"/>
      <c r="E416" s="46"/>
      <c r="F416" s="47"/>
      <c r="G416" s="48"/>
      <c r="H416" s="46"/>
      <c r="I416" s="47"/>
      <c r="J416" s="48"/>
      <c r="K416" s="46"/>
      <c r="L416" s="47"/>
      <c r="M416" s="48"/>
      <c r="N416" s="46"/>
      <c r="O416" s="47"/>
      <c r="P416" s="48"/>
      <c r="Q416" s="46"/>
      <c r="R416" s="47"/>
      <c r="S416" s="48"/>
      <c r="T416" s="46"/>
      <c r="U416" s="47"/>
      <c r="V416" s="48"/>
      <c r="W416" s="46" t="s">
        <v>804</v>
      </c>
      <c r="X416" s="47" t="s">
        <v>2647</v>
      </c>
      <c r="Y416" s="48">
        <v>0.1</v>
      </c>
      <c r="Z416" s="49" t="s">
        <v>1098</v>
      </c>
      <c r="AA416" s="50" t="s">
        <v>1099</v>
      </c>
      <c r="AB416" s="51">
        <v>0.4</v>
      </c>
    </row>
    <row r="417" spans="1:28" ht="13.5" customHeight="1">
      <c r="A417" s="27"/>
      <c r="B417" s="44"/>
      <c r="C417" s="36"/>
      <c r="D417" s="6"/>
      <c r="E417" s="46" t="s">
        <v>1101</v>
      </c>
      <c r="F417" s="47" t="s">
        <v>1100</v>
      </c>
      <c r="G417" s="48">
        <v>0.2</v>
      </c>
      <c r="H417" s="46" t="s">
        <v>1101</v>
      </c>
      <c r="I417" s="47" t="s">
        <v>1100</v>
      </c>
      <c r="J417" s="48">
        <v>0.2</v>
      </c>
      <c r="K417" s="46" t="s">
        <v>1101</v>
      </c>
      <c r="L417" s="47" t="s">
        <v>1100</v>
      </c>
      <c r="M417" s="48">
        <v>0.2</v>
      </c>
      <c r="N417" s="46" t="s">
        <v>1101</v>
      </c>
      <c r="O417" s="47" t="s">
        <v>1100</v>
      </c>
      <c r="P417" s="48">
        <v>0.2</v>
      </c>
      <c r="Q417" s="46" t="s">
        <v>1101</v>
      </c>
      <c r="R417" s="47" t="s">
        <v>1100</v>
      </c>
      <c r="S417" s="48">
        <v>0.2</v>
      </c>
      <c r="T417" s="46" t="s">
        <v>1101</v>
      </c>
      <c r="U417" s="47" t="s">
        <v>1100</v>
      </c>
      <c r="V417" s="48">
        <v>0.2</v>
      </c>
      <c r="W417" s="46" t="s">
        <v>788</v>
      </c>
      <c r="X417" s="47" t="s">
        <v>2648</v>
      </c>
      <c r="Y417" s="48">
        <v>0.2</v>
      </c>
      <c r="Z417" s="49" t="s">
        <v>1102</v>
      </c>
      <c r="AA417" s="50" t="s">
        <v>1103</v>
      </c>
      <c r="AB417" s="51">
        <v>0.4</v>
      </c>
    </row>
    <row r="418" spans="1:28" ht="13.5" customHeight="1">
      <c r="A418" s="27"/>
      <c r="B418" s="44"/>
      <c r="C418" s="36"/>
      <c r="D418" s="6"/>
      <c r="E418" s="46" t="s">
        <v>1104</v>
      </c>
      <c r="F418" s="47" t="s">
        <v>2649</v>
      </c>
      <c r="G418" s="48">
        <v>0.6</v>
      </c>
      <c r="H418" s="46" t="s">
        <v>1104</v>
      </c>
      <c r="I418" s="47" t="s">
        <v>2649</v>
      </c>
      <c r="J418" s="48">
        <v>0.7</v>
      </c>
      <c r="K418" s="46" t="s">
        <v>1104</v>
      </c>
      <c r="L418" s="47" t="s">
        <v>2649</v>
      </c>
      <c r="M418" s="48">
        <v>0.5</v>
      </c>
      <c r="N418" s="46" t="s">
        <v>1104</v>
      </c>
      <c r="O418" s="47" t="s">
        <v>2649</v>
      </c>
      <c r="P418" s="48">
        <v>0.5</v>
      </c>
      <c r="Q418" s="46" t="s">
        <v>1104</v>
      </c>
      <c r="R418" s="47" t="s">
        <v>1105</v>
      </c>
      <c r="S418" s="48">
        <v>0.5</v>
      </c>
      <c r="T418" s="46" t="s">
        <v>1104</v>
      </c>
      <c r="U418" s="47" t="s">
        <v>1105</v>
      </c>
      <c r="V418" s="48">
        <v>0.4</v>
      </c>
      <c r="W418" s="46" t="s">
        <v>1106</v>
      </c>
      <c r="X418" s="47" t="s">
        <v>2650</v>
      </c>
      <c r="Y418" s="48">
        <v>0.3</v>
      </c>
      <c r="Z418" s="49" t="s">
        <v>1107</v>
      </c>
      <c r="AA418" s="50" t="s">
        <v>1105</v>
      </c>
      <c r="AB418" s="51">
        <v>0.3</v>
      </c>
    </row>
    <row r="419" spans="1:28" ht="13.5" customHeight="1">
      <c r="A419" s="27"/>
      <c r="B419" s="44"/>
      <c r="C419" s="36"/>
      <c r="D419" s="6"/>
      <c r="E419" s="46" t="s">
        <v>1109</v>
      </c>
      <c r="F419" s="47" t="s">
        <v>1108</v>
      </c>
      <c r="G419" s="48">
        <v>0.5</v>
      </c>
      <c r="H419" s="46" t="s">
        <v>1109</v>
      </c>
      <c r="I419" s="47" t="s">
        <v>1108</v>
      </c>
      <c r="J419" s="48">
        <v>0.6</v>
      </c>
      <c r="K419" s="46" t="s">
        <v>1109</v>
      </c>
      <c r="L419" s="47" t="s">
        <v>1108</v>
      </c>
      <c r="M419" s="48">
        <v>0.6</v>
      </c>
      <c r="N419" s="46" t="s">
        <v>1109</v>
      </c>
      <c r="O419" s="47" t="s">
        <v>1108</v>
      </c>
      <c r="P419" s="48">
        <v>0.7</v>
      </c>
      <c r="Q419" s="46" t="s">
        <v>1109</v>
      </c>
      <c r="R419" s="47" t="s">
        <v>1108</v>
      </c>
      <c r="S419" s="48">
        <v>0.6</v>
      </c>
      <c r="T419" s="46" t="s">
        <v>1109</v>
      </c>
      <c r="U419" s="47" t="s">
        <v>1108</v>
      </c>
      <c r="V419" s="48">
        <v>0.6</v>
      </c>
      <c r="W419" s="46" t="s">
        <v>791</v>
      </c>
      <c r="X419" s="47" t="s">
        <v>2651</v>
      </c>
      <c r="Y419" s="48">
        <v>0.3</v>
      </c>
      <c r="Z419" s="49" t="s">
        <v>1110</v>
      </c>
      <c r="AA419" s="50" t="s">
        <v>1108</v>
      </c>
      <c r="AB419" s="51">
        <v>0.4</v>
      </c>
    </row>
    <row r="420" spans="1:28" ht="13.5" customHeight="1">
      <c r="A420" s="27"/>
      <c r="B420" s="44"/>
      <c r="C420" s="36"/>
      <c r="D420" s="6"/>
      <c r="E420" s="46" t="s">
        <v>1112</v>
      </c>
      <c r="F420" s="47" t="s">
        <v>1111</v>
      </c>
      <c r="G420" s="48">
        <v>0.3</v>
      </c>
      <c r="H420" s="46" t="s">
        <v>1112</v>
      </c>
      <c r="I420" s="47" t="s">
        <v>1111</v>
      </c>
      <c r="J420" s="48">
        <v>0.3</v>
      </c>
      <c r="K420" s="46" t="s">
        <v>1112</v>
      </c>
      <c r="L420" s="47" t="s">
        <v>1111</v>
      </c>
      <c r="M420" s="48">
        <v>0.3</v>
      </c>
      <c r="N420" s="46" t="s">
        <v>1112</v>
      </c>
      <c r="O420" s="47" t="s">
        <v>1111</v>
      </c>
      <c r="P420" s="48">
        <v>0.3</v>
      </c>
      <c r="Q420" s="46" t="s">
        <v>1112</v>
      </c>
      <c r="R420" s="47" t="s">
        <v>1111</v>
      </c>
      <c r="S420" s="48">
        <v>0.2</v>
      </c>
      <c r="T420" s="46" t="s">
        <v>1112</v>
      </c>
      <c r="U420" s="47" t="s">
        <v>1111</v>
      </c>
      <c r="V420" s="48">
        <v>0.2</v>
      </c>
      <c r="W420" s="46" t="s">
        <v>784</v>
      </c>
      <c r="X420" s="47" t="s">
        <v>2652</v>
      </c>
      <c r="Y420" s="48">
        <v>0.2</v>
      </c>
      <c r="Z420" s="49" t="s">
        <v>912</v>
      </c>
      <c r="AA420" s="50" t="s">
        <v>1111</v>
      </c>
      <c r="AB420" s="51">
        <v>0.2</v>
      </c>
    </row>
    <row r="421" spans="1:28" ht="13.5" customHeight="1">
      <c r="A421" s="27"/>
      <c r="B421" s="44"/>
      <c r="C421" s="36"/>
      <c r="D421" s="6"/>
      <c r="E421" s="46"/>
      <c r="F421" s="47"/>
      <c r="G421" s="48"/>
      <c r="H421" s="46"/>
      <c r="I421" s="47"/>
      <c r="J421" s="48"/>
      <c r="K421" s="46"/>
      <c r="L421" s="47"/>
      <c r="M421" s="48"/>
      <c r="N421" s="46"/>
      <c r="O421" s="47"/>
      <c r="P421" s="48"/>
      <c r="Q421" s="46"/>
      <c r="R421" s="47"/>
      <c r="S421" s="48"/>
      <c r="T421" s="46"/>
      <c r="U421" s="47"/>
      <c r="V421" s="48"/>
      <c r="W421" s="46"/>
      <c r="X421" s="47"/>
      <c r="Y421" s="48"/>
      <c r="Z421" s="49" t="s">
        <v>1113</v>
      </c>
      <c r="AA421" s="50" t="s">
        <v>1114</v>
      </c>
      <c r="AB421" s="51">
        <v>0.4</v>
      </c>
    </row>
    <row r="422" spans="1:28" ht="13.5" customHeight="1">
      <c r="A422" s="27"/>
      <c r="B422" s="44"/>
      <c r="C422" s="36"/>
      <c r="D422" s="6"/>
      <c r="E422" s="46" t="s">
        <v>1116</v>
      </c>
      <c r="F422" s="47" t="s">
        <v>1115</v>
      </c>
      <c r="G422" s="48">
        <v>0.7</v>
      </c>
      <c r="H422" s="46" t="s">
        <v>1116</v>
      </c>
      <c r="I422" s="47" t="s">
        <v>1115</v>
      </c>
      <c r="J422" s="48">
        <v>0.8</v>
      </c>
      <c r="K422" s="46" t="s">
        <v>1116</v>
      </c>
      <c r="L422" s="47" t="s">
        <v>1115</v>
      </c>
      <c r="M422" s="48">
        <v>0.7</v>
      </c>
      <c r="N422" s="46" t="s">
        <v>1116</v>
      </c>
      <c r="O422" s="47" t="s">
        <v>1115</v>
      </c>
      <c r="P422" s="48">
        <v>0.7</v>
      </c>
      <c r="Q422" s="46" t="s">
        <v>1116</v>
      </c>
      <c r="R422" s="47" t="s">
        <v>1115</v>
      </c>
      <c r="S422" s="48">
        <v>0.6</v>
      </c>
      <c r="T422" s="46" t="s">
        <v>1116</v>
      </c>
      <c r="U422" s="47" t="s">
        <v>1115</v>
      </c>
      <c r="V422" s="48">
        <v>0.6</v>
      </c>
      <c r="W422" s="46" t="s">
        <v>1117</v>
      </c>
      <c r="X422" s="47" t="s">
        <v>2653</v>
      </c>
      <c r="Y422" s="48">
        <v>0.5</v>
      </c>
      <c r="Z422" s="49" t="s">
        <v>1118</v>
      </c>
      <c r="AA422" s="50" t="s">
        <v>1119</v>
      </c>
      <c r="AB422" s="51">
        <v>0.2</v>
      </c>
    </row>
    <row r="423" spans="1:28" ht="13.5" customHeight="1">
      <c r="A423" s="27"/>
      <c r="B423" s="44"/>
      <c r="C423" s="36"/>
      <c r="D423" s="6"/>
      <c r="E423" s="46" t="s">
        <v>1121</v>
      </c>
      <c r="F423" s="47" t="s">
        <v>1120</v>
      </c>
      <c r="G423" s="48">
        <v>0.4</v>
      </c>
      <c r="H423" s="46" t="s">
        <v>1121</v>
      </c>
      <c r="I423" s="47" t="s">
        <v>1120</v>
      </c>
      <c r="J423" s="48">
        <v>0.5</v>
      </c>
      <c r="K423" s="46" t="s">
        <v>1121</v>
      </c>
      <c r="L423" s="47" t="s">
        <v>1120</v>
      </c>
      <c r="M423" s="48">
        <v>0.4</v>
      </c>
      <c r="N423" s="46" t="s">
        <v>1121</v>
      </c>
      <c r="O423" s="47" t="s">
        <v>1120</v>
      </c>
      <c r="P423" s="48">
        <v>0.4</v>
      </c>
      <c r="Q423" s="46" t="s">
        <v>1121</v>
      </c>
      <c r="R423" s="47" t="s">
        <v>1120</v>
      </c>
      <c r="S423" s="48">
        <v>0.4</v>
      </c>
      <c r="T423" s="46" t="s">
        <v>1121</v>
      </c>
      <c r="U423" s="47" t="s">
        <v>1120</v>
      </c>
      <c r="V423" s="48">
        <v>0.3</v>
      </c>
      <c r="W423" s="46" t="s">
        <v>1122</v>
      </c>
      <c r="X423" s="47" t="s">
        <v>2654</v>
      </c>
      <c r="Y423" s="48">
        <v>0.2</v>
      </c>
      <c r="Z423" s="49"/>
      <c r="AA423" s="50"/>
      <c r="AB423" s="51"/>
    </row>
    <row r="424" spans="1:28" ht="13.5" customHeight="1">
      <c r="A424" s="27"/>
      <c r="B424" s="44"/>
      <c r="C424" s="36"/>
      <c r="D424" s="6"/>
      <c r="E424" s="46"/>
      <c r="F424" s="47"/>
      <c r="G424" s="48"/>
      <c r="H424" s="46"/>
      <c r="I424" s="47"/>
      <c r="J424" s="48"/>
      <c r="K424" s="46"/>
      <c r="L424" s="47"/>
      <c r="M424" s="48"/>
      <c r="N424" s="46"/>
      <c r="O424" s="47"/>
      <c r="P424" s="48"/>
      <c r="Q424" s="46"/>
      <c r="R424" s="47"/>
      <c r="S424" s="48"/>
      <c r="T424" s="46"/>
      <c r="U424" s="47"/>
      <c r="V424" s="48"/>
      <c r="W424" s="46"/>
      <c r="X424" s="47"/>
      <c r="Y424" s="48"/>
      <c r="Z424" s="49" t="s">
        <v>1123</v>
      </c>
      <c r="AA424" s="50" t="s">
        <v>1124</v>
      </c>
      <c r="AB424" s="51">
        <v>0.2</v>
      </c>
    </row>
    <row r="425" spans="1:28" ht="13.5" customHeight="1">
      <c r="A425" s="27"/>
      <c r="B425" s="44"/>
      <c r="C425" s="36"/>
      <c r="D425" s="6"/>
      <c r="E425" s="46"/>
      <c r="F425" s="47"/>
      <c r="G425" s="48"/>
      <c r="H425" s="46"/>
      <c r="I425" s="47"/>
      <c r="J425" s="48"/>
      <c r="K425" s="46"/>
      <c r="L425" s="47"/>
      <c r="M425" s="48"/>
      <c r="N425" s="46"/>
      <c r="O425" s="47"/>
      <c r="P425" s="48"/>
      <c r="Q425" s="46"/>
      <c r="R425" s="47"/>
      <c r="S425" s="48"/>
      <c r="T425" s="46"/>
      <c r="U425" s="47"/>
      <c r="V425" s="48"/>
      <c r="W425" s="46"/>
      <c r="X425" s="47"/>
      <c r="Y425" s="48"/>
      <c r="Z425" s="49" t="s">
        <v>1125</v>
      </c>
      <c r="AA425" s="50" t="s">
        <v>1126</v>
      </c>
      <c r="AB425" s="51">
        <v>0.4</v>
      </c>
    </row>
    <row r="426" spans="1:28" ht="13.5" customHeight="1">
      <c r="A426" s="27"/>
      <c r="B426" s="44"/>
      <c r="C426" s="36"/>
      <c r="D426" s="6"/>
      <c r="E426" s="46"/>
      <c r="F426" s="47"/>
      <c r="G426" s="48"/>
      <c r="H426" s="46"/>
      <c r="I426" s="47"/>
      <c r="J426" s="48"/>
      <c r="K426" s="46"/>
      <c r="L426" s="47"/>
      <c r="M426" s="48"/>
      <c r="N426" s="46"/>
      <c r="O426" s="47"/>
      <c r="P426" s="48"/>
      <c r="Q426" s="46"/>
      <c r="R426" s="47"/>
      <c r="S426" s="48"/>
      <c r="T426" s="46"/>
      <c r="U426" s="47"/>
      <c r="V426" s="48"/>
      <c r="W426" s="46"/>
      <c r="X426" s="47"/>
      <c r="Y426" s="48"/>
      <c r="Z426" s="49"/>
      <c r="AA426" s="50"/>
      <c r="AB426" s="51"/>
    </row>
    <row r="427" spans="1:28" ht="13.5" customHeight="1">
      <c r="A427" s="27"/>
      <c r="B427" s="44"/>
      <c r="C427" s="36"/>
      <c r="D427" s="6"/>
      <c r="E427" s="46"/>
      <c r="F427" s="47"/>
      <c r="G427" s="48"/>
      <c r="H427" s="46"/>
      <c r="I427" s="47"/>
      <c r="J427" s="48"/>
      <c r="K427" s="46"/>
      <c r="L427" s="47"/>
      <c r="M427" s="48"/>
      <c r="N427" s="46"/>
      <c r="O427" s="47"/>
      <c r="P427" s="48"/>
      <c r="Q427" s="46"/>
      <c r="R427" s="47"/>
      <c r="S427" s="48"/>
      <c r="T427" s="46"/>
      <c r="U427" s="47"/>
      <c r="V427" s="48"/>
      <c r="W427" s="46"/>
      <c r="X427" s="47"/>
      <c r="Y427" s="48"/>
      <c r="Z427" s="49"/>
      <c r="AA427" s="50"/>
      <c r="AB427" s="51"/>
    </row>
    <row r="428" spans="1:28" ht="13.5" customHeight="1">
      <c r="A428" s="27"/>
      <c r="B428" s="44"/>
      <c r="C428" s="36"/>
      <c r="D428" s="6"/>
      <c r="E428" s="46"/>
      <c r="F428" s="47"/>
      <c r="G428" s="48"/>
      <c r="H428" s="46"/>
      <c r="I428" s="47"/>
      <c r="J428" s="48"/>
      <c r="K428" s="46"/>
      <c r="L428" s="47"/>
      <c r="M428" s="48"/>
      <c r="N428" s="46"/>
      <c r="O428" s="47"/>
      <c r="P428" s="48"/>
      <c r="Q428" s="46"/>
      <c r="R428" s="47"/>
      <c r="S428" s="48"/>
      <c r="T428" s="46"/>
      <c r="U428" s="47"/>
      <c r="V428" s="48"/>
      <c r="W428" s="46"/>
      <c r="X428" s="47"/>
      <c r="Y428" s="48"/>
      <c r="Z428" s="49"/>
      <c r="AA428" s="50"/>
      <c r="AB428" s="51"/>
    </row>
    <row r="429" spans="1:28" ht="13.5" customHeight="1">
      <c r="A429" s="27"/>
      <c r="B429" s="161"/>
      <c r="C429" s="82"/>
      <c r="D429" s="83"/>
      <c r="E429" s="46"/>
      <c r="F429" s="75"/>
      <c r="G429" s="48"/>
      <c r="H429" s="46"/>
      <c r="I429" s="75"/>
      <c r="J429" s="48"/>
      <c r="K429" s="46"/>
      <c r="L429" s="75"/>
      <c r="M429" s="48"/>
      <c r="N429" s="46"/>
      <c r="O429" s="75"/>
      <c r="P429" s="48"/>
      <c r="Q429" s="76"/>
      <c r="R429" s="75"/>
      <c r="S429" s="77"/>
      <c r="T429" s="76"/>
      <c r="U429" s="75"/>
      <c r="V429" s="77"/>
      <c r="W429" s="76"/>
      <c r="X429" s="75"/>
      <c r="Y429" s="77"/>
      <c r="Z429" s="78"/>
      <c r="AA429" s="79"/>
      <c r="AB429" s="80"/>
    </row>
    <row r="430" spans="1:28" ht="13.5" customHeight="1">
      <c r="A430" s="27"/>
      <c r="B430" s="36" t="s">
        <v>1127</v>
      </c>
      <c r="C430" s="21"/>
      <c r="D430" s="6" t="s">
        <v>1128</v>
      </c>
      <c r="E430" s="31" t="s">
        <v>1129</v>
      </c>
      <c r="F430" s="99"/>
      <c r="G430" s="33">
        <f>G431</f>
        <v>3.1</v>
      </c>
      <c r="H430" s="31" t="s">
        <v>1129</v>
      </c>
      <c r="I430" s="99"/>
      <c r="J430" s="33">
        <f>J431</f>
        <v>3.2</v>
      </c>
      <c r="K430" s="31" t="s">
        <v>1129</v>
      </c>
      <c r="L430" s="99"/>
      <c r="M430" s="33">
        <f>M431</f>
        <v>2.4</v>
      </c>
      <c r="N430" s="31" t="s">
        <v>1129</v>
      </c>
      <c r="O430" s="99"/>
      <c r="P430" s="33">
        <f>P431</f>
        <v>1.8</v>
      </c>
      <c r="Q430" s="31" t="s">
        <v>1129</v>
      </c>
      <c r="R430" s="99"/>
      <c r="S430" s="33">
        <f>S431</f>
        <v>1.9</v>
      </c>
      <c r="T430" s="31" t="s">
        <v>1129</v>
      </c>
      <c r="U430" s="99"/>
      <c r="V430" s="33">
        <f>V431</f>
        <v>1.6</v>
      </c>
      <c r="W430" s="87"/>
      <c r="X430" s="99"/>
      <c r="Y430" s="33">
        <f>Y431</f>
        <v>1.3</v>
      </c>
      <c r="Z430" s="90"/>
      <c r="AA430" s="91"/>
      <c r="AB430" s="33">
        <f>AB431</f>
        <v>2.2000000000000002</v>
      </c>
    </row>
    <row r="431" spans="1:28" ht="13.5" customHeight="1">
      <c r="A431" s="27"/>
      <c r="B431" s="36"/>
      <c r="C431" s="28" t="s">
        <v>1130</v>
      </c>
      <c r="D431" s="30" t="s">
        <v>1128</v>
      </c>
      <c r="E431" s="37" t="s">
        <v>1131</v>
      </c>
      <c r="F431" s="71"/>
      <c r="G431" s="39">
        <f>SUM(G432:G435)</f>
        <v>3.1</v>
      </c>
      <c r="H431" s="37" t="s">
        <v>1131</v>
      </c>
      <c r="I431" s="71"/>
      <c r="J431" s="39">
        <f>SUM(J432:J435)</f>
        <v>3.2</v>
      </c>
      <c r="K431" s="37" t="s">
        <v>1131</v>
      </c>
      <c r="L431" s="71"/>
      <c r="M431" s="39">
        <f>SUM(M432:M435)</f>
        <v>2.4</v>
      </c>
      <c r="N431" s="37" t="s">
        <v>1131</v>
      </c>
      <c r="O431" s="71"/>
      <c r="P431" s="39">
        <f>SUM(P432:P435)</f>
        <v>1.8</v>
      </c>
      <c r="Q431" s="37" t="s">
        <v>1131</v>
      </c>
      <c r="R431" s="71"/>
      <c r="S431" s="39">
        <f>SUM(S432:S435)</f>
        <v>1.9</v>
      </c>
      <c r="T431" s="37" t="s">
        <v>1131</v>
      </c>
      <c r="U431" s="71"/>
      <c r="V431" s="39">
        <f>SUM(V432:V435)</f>
        <v>1.6</v>
      </c>
      <c r="W431" s="72"/>
      <c r="X431" s="71"/>
      <c r="Y431" s="39">
        <f>SUM(Y432:Y435)</f>
        <v>1.3</v>
      </c>
      <c r="Z431" s="42"/>
      <c r="AA431" s="43"/>
      <c r="AB431" s="39">
        <f>SUM(AB432:AB435)</f>
        <v>2.2000000000000002</v>
      </c>
    </row>
    <row r="432" spans="1:28" ht="13.5" customHeight="1">
      <c r="A432" s="27"/>
      <c r="B432" s="105"/>
      <c r="C432" s="44"/>
      <c r="D432" s="45"/>
      <c r="E432" s="46" t="s">
        <v>1133</v>
      </c>
      <c r="F432" s="47" t="s">
        <v>1132</v>
      </c>
      <c r="G432" s="48">
        <v>1.5</v>
      </c>
      <c r="H432" s="46" t="s">
        <v>1133</v>
      </c>
      <c r="I432" s="47" t="s">
        <v>1132</v>
      </c>
      <c r="J432" s="48">
        <v>1.7</v>
      </c>
      <c r="K432" s="46" t="s">
        <v>1133</v>
      </c>
      <c r="L432" s="47" t="s">
        <v>1132</v>
      </c>
      <c r="M432" s="48">
        <v>1.3</v>
      </c>
      <c r="N432" s="46" t="s">
        <v>1133</v>
      </c>
      <c r="O432" s="47" t="s">
        <v>1132</v>
      </c>
      <c r="P432" s="48">
        <v>0.8</v>
      </c>
      <c r="Q432" s="46" t="s">
        <v>1133</v>
      </c>
      <c r="R432" s="47" t="s">
        <v>1132</v>
      </c>
      <c r="S432" s="48">
        <v>1.1000000000000001</v>
      </c>
      <c r="T432" s="46" t="s">
        <v>1133</v>
      </c>
      <c r="U432" s="47" t="s">
        <v>1132</v>
      </c>
      <c r="V432" s="48">
        <v>1.1000000000000001</v>
      </c>
      <c r="W432" s="46" t="s">
        <v>1134</v>
      </c>
      <c r="X432" s="47" t="s">
        <v>2655</v>
      </c>
      <c r="Y432" s="48">
        <v>1.1000000000000001</v>
      </c>
      <c r="Z432" s="49" t="s">
        <v>1135</v>
      </c>
      <c r="AA432" s="50" t="s">
        <v>1132</v>
      </c>
      <c r="AB432" s="51">
        <v>2</v>
      </c>
    </row>
    <row r="433" spans="1:28" ht="13.5" customHeight="1">
      <c r="A433" s="27"/>
      <c r="B433" s="44"/>
      <c r="C433" s="36"/>
      <c r="D433" s="6"/>
      <c r="E433" s="46" t="s">
        <v>1137</v>
      </c>
      <c r="F433" s="47" t="s">
        <v>1136</v>
      </c>
      <c r="G433" s="48">
        <v>0.3</v>
      </c>
      <c r="H433" s="46" t="s">
        <v>1137</v>
      </c>
      <c r="I433" s="47" t="s">
        <v>1136</v>
      </c>
      <c r="J433" s="48">
        <v>0.3</v>
      </c>
      <c r="K433" s="46" t="s">
        <v>1137</v>
      </c>
      <c r="L433" s="47" t="s">
        <v>1136</v>
      </c>
      <c r="M433" s="48">
        <v>0.2</v>
      </c>
      <c r="N433" s="46" t="s">
        <v>1137</v>
      </c>
      <c r="O433" s="47" t="s">
        <v>1136</v>
      </c>
      <c r="P433" s="48">
        <v>0.2</v>
      </c>
      <c r="Q433" s="46" t="s">
        <v>1137</v>
      </c>
      <c r="R433" s="47" t="s">
        <v>1136</v>
      </c>
      <c r="S433" s="48">
        <v>0.2</v>
      </c>
      <c r="T433" s="46" t="s">
        <v>1137</v>
      </c>
      <c r="U433" s="47" t="s">
        <v>1136</v>
      </c>
      <c r="V433" s="48">
        <v>0.2</v>
      </c>
      <c r="W433" s="46" t="s">
        <v>833</v>
      </c>
      <c r="X433" s="47" t="s">
        <v>2656</v>
      </c>
      <c r="Y433" s="48">
        <v>0.2</v>
      </c>
      <c r="Z433" s="49" t="s">
        <v>939</v>
      </c>
      <c r="AA433" s="50" t="s">
        <v>1136</v>
      </c>
      <c r="AB433" s="51">
        <v>0.2</v>
      </c>
    </row>
    <row r="434" spans="1:28" ht="13.5" customHeight="1">
      <c r="A434" s="27"/>
      <c r="B434" s="44"/>
      <c r="C434" s="36"/>
      <c r="D434" s="6"/>
      <c r="E434" s="46"/>
      <c r="F434" s="56"/>
      <c r="G434" s="48"/>
      <c r="H434" s="46"/>
      <c r="I434" s="56"/>
      <c r="J434" s="48"/>
      <c r="K434" s="46" t="s">
        <v>1139</v>
      </c>
      <c r="L434" s="56" t="s">
        <v>1138</v>
      </c>
      <c r="M434" s="48">
        <v>0.9</v>
      </c>
      <c r="N434" s="46" t="s">
        <v>1139</v>
      </c>
      <c r="O434" s="56" t="s">
        <v>1138</v>
      </c>
      <c r="P434" s="48">
        <v>0.8</v>
      </c>
      <c r="Q434" s="57" t="s">
        <v>1139</v>
      </c>
      <c r="R434" s="56" t="s">
        <v>1138</v>
      </c>
      <c r="S434" s="58">
        <v>0.6</v>
      </c>
      <c r="T434" s="57" t="s">
        <v>1139</v>
      </c>
      <c r="U434" s="56" t="s">
        <v>1138</v>
      </c>
      <c r="V434" s="58">
        <v>0.3</v>
      </c>
      <c r="W434" s="57"/>
      <c r="X434" s="56"/>
      <c r="Y434" s="58"/>
      <c r="Z434" s="59"/>
      <c r="AA434" s="60"/>
      <c r="AB434" s="61"/>
    </row>
    <row r="435" spans="1:28" ht="13.5" customHeight="1">
      <c r="A435" s="27"/>
      <c r="B435" s="114"/>
      <c r="C435" s="82"/>
      <c r="D435" s="83"/>
      <c r="E435" s="46" t="s">
        <v>1139</v>
      </c>
      <c r="F435" s="75" t="s">
        <v>3019</v>
      </c>
      <c r="G435" s="48">
        <v>1.3</v>
      </c>
      <c r="H435" s="46" t="s">
        <v>1139</v>
      </c>
      <c r="I435" s="75" t="s">
        <v>3019</v>
      </c>
      <c r="J435" s="48">
        <v>1.2</v>
      </c>
      <c r="K435" s="46"/>
      <c r="L435" s="75"/>
      <c r="M435" s="48"/>
      <c r="N435" s="46"/>
      <c r="O435" s="75"/>
      <c r="P435" s="48"/>
      <c r="Q435" s="76"/>
      <c r="R435" s="75"/>
      <c r="S435" s="77"/>
      <c r="T435" s="76"/>
      <c r="U435" s="75"/>
      <c r="V435" s="77"/>
      <c r="W435" s="76"/>
      <c r="X435" s="75"/>
      <c r="Y435" s="77"/>
      <c r="Z435" s="78"/>
      <c r="AA435" s="79"/>
      <c r="AB435" s="80"/>
    </row>
    <row r="436" spans="1:28" ht="13.5" customHeight="1">
      <c r="A436" s="27"/>
      <c r="B436" s="36" t="s">
        <v>1140</v>
      </c>
      <c r="C436" s="21"/>
      <c r="D436" s="6" t="s">
        <v>1141</v>
      </c>
      <c r="E436" s="31" t="s">
        <v>1142</v>
      </c>
      <c r="F436" s="63"/>
      <c r="G436" s="33">
        <f>G437+G452</f>
        <v>10.1</v>
      </c>
      <c r="H436" s="31" t="s">
        <v>1142</v>
      </c>
      <c r="I436" s="63"/>
      <c r="J436" s="33">
        <f>J437+J452</f>
        <v>11.2</v>
      </c>
      <c r="K436" s="31" t="s">
        <v>1142</v>
      </c>
      <c r="L436" s="63"/>
      <c r="M436" s="33">
        <f>M437+M452</f>
        <v>9.6</v>
      </c>
      <c r="N436" s="31" t="s">
        <v>1142</v>
      </c>
      <c r="O436" s="63"/>
      <c r="P436" s="33">
        <f>P437+P452</f>
        <v>10.1</v>
      </c>
      <c r="Q436" s="31" t="s">
        <v>1142</v>
      </c>
      <c r="R436" s="63"/>
      <c r="S436" s="33">
        <f>S437+S452</f>
        <v>9.8000000000000007</v>
      </c>
      <c r="T436" s="31" t="s">
        <v>1142</v>
      </c>
      <c r="U436" s="63"/>
      <c r="V436" s="33">
        <f>V437+V452</f>
        <v>11.2</v>
      </c>
      <c r="W436" s="62"/>
      <c r="X436" s="63"/>
      <c r="Y436" s="33">
        <f>Y437+Y452</f>
        <v>5.8</v>
      </c>
      <c r="Z436" s="65"/>
      <c r="AA436" s="66"/>
      <c r="AB436" s="33">
        <f>AB437+AB452</f>
        <v>6.6</v>
      </c>
    </row>
    <row r="437" spans="1:28" ht="13.5" customHeight="1">
      <c r="A437" s="27"/>
      <c r="B437" s="36"/>
      <c r="C437" s="28" t="s">
        <v>1143</v>
      </c>
      <c r="D437" s="30" t="s">
        <v>1144</v>
      </c>
      <c r="E437" s="37" t="s">
        <v>1145</v>
      </c>
      <c r="F437" s="71"/>
      <c r="G437" s="39">
        <f>SUM(G438:G451)</f>
        <v>5.0999999999999996</v>
      </c>
      <c r="H437" s="37" t="s">
        <v>1145</v>
      </c>
      <c r="I437" s="71"/>
      <c r="J437" s="39">
        <f>SUM(J438:J451)</f>
        <v>5.6</v>
      </c>
      <c r="K437" s="37" t="s">
        <v>1145</v>
      </c>
      <c r="L437" s="71"/>
      <c r="M437" s="39">
        <f>SUM(M438:M451)</f>
        <v>5.0999999999999996</v>
      </c>
      <c r="N437" s="37" t="s">
        <v>1145</v>
      </c>
      <c r="O437" s="71"/>
      <c r="P437" s="39">
        <f>SUM(P438:P451)</f>
        <v>4.8</v>
      </c>
      <c r="Q437" s="37" t="s">
        <v>1145</v>
      </c>
      <c r="R437" s="71"/>
      <c r="S437" s="39">
        <f>SUM(S438:S451)</f>
        <v>4.6000000000000005</v>
      </c>
      <c r="T437" s="37" t="s">
        <v>1145</v>
      </c>
      <c r="U437" s="71"/>
      <c r="V437" s="39">
        <f>SUM(V438:V451)</f>
        <v>4.8000000000000007</v>
      </c>
      <c r="W437" s="72"/>
      <c r="X437" s="71"/>
      <c r="Y437" s="39">
        <f>SUM(Y438:Y451)</f>
        <v>3.7</v>
      </c>
      <c r="Z437" s="42"/>
      <c r="AA437" s="43"/>
      <c r="AB437" s="39">
        <f>SUM(AB438:AB451)</f>
        <v>3.8</v>
      </c>
    </row>
    <row r="438" spans="1:28" ht="13.5" customHeight="1">
      <c r="A438" s="27"/>
      <c r="B438" s="144"/>
      <c r="C438" s="21"/>
      <c r="D438" s="45"/>
      <c r="E438" s="46" t="s">
        <v>1147</v>
      </c>
      <c r="F438" s="47" t="s">
        <v>1146</v>
      </c>
      <c r="G438" s="48">
        <v>1.7</v>
      </c>
      <c r="H438" s="46" t="s">
        <v>1147</v>
      </c>
      <c r="I438" s="47" t="s">
        <v>1146</v>
      </c>
      <c r="J438" s="48">
        <v>1.7</v>
      </c>
      <c r="K438" s="46" t="s">
        <v>1147</v>
      </c>
      <c r="L438" s="47" t="s">
        <v>1146</v>
      </c>
      <c r="M438" s="48">
        <v>1.8</v>
      </c>
      <c r="N438" s="46" t="s">
        <v>1147</v>
      </c>
      <c r="O438" s="47" t="s">
        <v>1146</v>
      </c>
      <c r="P438" s="48">
        <v>1.9</v>
      </c>
      <c r="Q438" s="46" t="s">
        <v>1147</v>
      </c>
      <c r="R438" s="47" t="s">
        <v>1146</v>
      </c>
      <c r="S438" s="48">
        <v>2</v>
      </c>
      <c r="T438" s="46" t="s">
        <v>1147</v>
      </c>
      <c r="U438" s="47" t="s">
        <v>1146</v>
      </c>
      <c r="V438" s="48">
        <v>1.9</v>
      </c>
      <c r="W438" s="46" t="s">
        <v>845</v>
      </c>
      <c r="X438" s="47" t="s">
        <v>2657</v>
      </c>
      <c r="Y438" s="48">
        <v>0.1</v>
      </c>
      <c r="Z438" s="49" t="s">
        <v>1148</v>
      </c>
      <c r="AA438" s="50" t="s">
        <v>1149</v>
      </c>
      <c r="AB438" s="51">
        <v>0.2</v>
      </c>
    </row>
    <row r="439" spans="1:28" ht="13.5" customHeight="1">
      <c r="A439" s="27"/>
      <c r="B439" s="44"/>
      <c r="C439" s="44"/>
      <c r="D439" s="6"/>
      <c r="E439" s="46"/>
      <c r="F439" s="47"/>
      <c r="G439" s="48"/>
      <c r="H439" s="46"/>
      <c r="I439" s="47"/>
      <c r="J439" s="48"/>
      <c r="K439" s="46"/>
      <c r="L439" s="47"/>
      <c r="M439" s="48"/>
      <c r="N439" s="46"/>
      <c r="O439" s="47"/>
      <c r="P439" s="48"/>
      <c r="Q439" s="46"/>
      <c r="R439" s="47"/>
      <c r="S439" s="48"/>
      <c r="T439" s="46"/>
      <c r="U439" s="47"/>
      <c r="V439" s="48"/>
      <c r="W439" s="46" t="s">
        <v>1150</v>
      </c>
      <c r="X439" s="47" t="s">
        <v>2658</v>
      </c>
      <c r="Y439" s="48">
        <v>1.3</v>
      </c>
      <c r="Z439" s="49" t="s">
        <v>1151</v>
      </c>
      <c r="AA439" s="50" t="s">
        <v>1152</v>
      </c>
      <c r="AB439" s="51">
        <v>1.3</v>
      </c>
    </row>
    <row r="440" spans="1:28" ht="13.5" customHeight="1">
      <c r="A440" s="27"/>
      <c r="B440" s="44"/>
      <c r="C440" s="44"/>
      <c r="D440" s="6"/>
      <c r="E440" s="46" t="s">
        <v>1153</v>
      </c>
      <c r="F440" s="47" t="s">
        <v>2659</v>
      </c>
      <c r="G440" s="48">
        <v>0.1</v>
      </c>
      <c r="H440" s="46" t="s">
        <v>1153</v>
      </c>
      <c r="I440" s="47" t="s">
        <v>2659</v>
      </c>
      <c r="J440" s="48">
        <v>0.2</v>
      </c>
      <c r="K440" s="46" t="s">
        <v>1153</v>
      </c>
      <c r="L440" s="47" t="s">
        <v>2659</v>
      </c>
      <c r="M440" s="48">
        <v>0.3</v>
      </c>
      <c r="N440" s="46" t="s">
        <v>1153</v>
      </c>
      <c r="O440" s="47" t="s">
        <v>2659</v>
      </c>
      <c r="P440" s="48">
        <v>0.4</v>
      </c>
      <c r="Q440" s="46" t="s">
        <v>1153</v>
      </c>
      <c r="R440" s="47" t="s">
        <v>2659</v>
      </c>
      <c r="S440" s="48">
        <v>0.4</v>
      </c>
      <c r="T440" s="46" t="s">
        <v>1153</v>
      </c>
      <c r="U440" s="47" t="s">
        <v>2659</v>
      </c>
      <c r="V440" s="48">
        <v>0.4</v>
      </c>
      <c r="W440" s="46" t="s">
        <v>1154</v>
      </c>
      <c r="X440" s="47" t="s">
        <v>2660</v>
      </c>
      <c r="Y440" s="48">
        <v>0.6</v>
      </c>
      <c r="Z440" s="49" t="s">
        <v>1155</v>
      </c>
      <c r="AA440" s="50" t="s">
        <v>1156</v>
      </c>
      <c r="AB440" s="51">
        <v>0.8</v>
      </c>
    </row>
    <row r="441" spans="1:28" ht="13.5" customHeight="1">
      <c r="A441" s="27"/>
      <c r="B441" s="44"/>
      <c r="C441" s="36"/>
      <c r="D441" s="6"/>
      <c r="E441" s="46" t="s">
        <v>1158</v>
      </c>
      <c r="F441" s="47" t="s">
        <v>1157</v>
      </c>
      <c r="G441" s="48">
        <v>0.2</v>
      </c>
      <c r="H441" s="46" t="s">
        <v>1158</v>
      </c>
      <c r="I441" s="47" t="s">
        <v>1157</v>
      </c>
      <c r="J441" s="48">
        <v>0.3</v>
      </c>
      <c r="K441" s="46" t="s">
        <v>1158</v>
      </c>
      <c r="L441" s="47" t="s">
        <v>1157</v>
      </c>
      <c r="M441" s="48">
        <v>0.3</v>
      </c>
      <c r="N441" s="46" t="s">
        <v>1158</v>
      </c>
      <c r="O441" s="47" t="s">
        <v>1157</v>
      </c>
      <c r="P441" s="48">
        <v>0.4</v>
      </c>
      <c r="Q441" s="46" t="s">
        <v>1158</v>
      </c>
      <c r="R441" s="47" t="s">
        <v>1157</v>
      </c>
      <c r="S441" s="48">
        <v>0.3</v>
      </c>
      <c r="T441" s="46" t="s">
        <v>1158</v>
      </c>
      <c r="U441" s="47" t="s">
        <v>1157</v>
      </c>
      <c r="V441" s="48">
        <v>0.2</v>
      </c>
      <c r="W441" s="46" t="s">
        <v>837</v>
      </c>
      <c r="X441" s="47" t="s">
        <v>2661</v>
      </c>
      <c r="Y441" s="48">
        <v>0.3</v>
      </c>
      <c r="Z441" s="49" t="s">
        <v>1159</v>
      </c>
      <c r="AA441" s="50" t="s">
        <v>1160</v>
      </c>
      <c r="AB441" s="51">
        <v>0.1</v>
      </c>
    </row>
    <row r="442" spans="1:28" ht="13.5" customHeight="1">
      <c r="A442" s="27"/>
      <c r="B442" s="44"/>
      <c r="C442" s="36"/>
      <c r="D442" s="6"/>
      <c r="E442" s="46"/>
      <c r="F442" s="47"/>
      <c r="G442" s="48"/>
      <c r="H442" s="46"/>
      <c r="I442" s="47"/>
      <c r="J442" s="48"/>
      <c r="K442" s="46"/>
      <c r="L442" s="47"/>
      <c r="M442" s="48"/>
      <c r="N442" s="46"/>
      <c r="O442" s="47"/>
      <c r="P442" s="48"/>
      <c r="Q442" s="46"/>
      <c r="R442" s="47"/>
      <c r="S442" s="48"/>
      <c r="T442" s="46"/>
      <c r="U442" s="47"/>
      <c r="V442" s="48"/>
      <c r="W442" s="46"/>
      <c r="X442" s="47"/>
      <c r="Y442" s="48"/>
      <c r="Z442" s="49" t="s">
        <v>1161</v>
      </c>
      <c r="AA442" s="50" t="s">
        <v>1162</v>
      </c>
      <c r="AB442" s="51">
        <v>0.3</v>
      </c>
    </row>
    <row r="443" spans="1:28" ht="13.5" customHeight="1">
      <c r="A443" s="27"/>
      <c r="B443" s="44"/>
      <c r="C443" s="36"/>
      <c r="D443" s="6"/>
      <c r="E443" s="46" t="s">
        <v>1164</v>
      </c>
      <c r="F443" s="47" t="s">
        <v>1163</v>
      </c>
      <c r="G443" s="48">
        <v>0.6</v>
      </c>
      <c r="H443" s="46" t="s">
        <v>1164</v>
      </c>
      <c r="I443" s="47" t="s">
        <v>1163</v>
      </c>
      <c r="J443" s="48">
        <v>0.7</v>
      </c>
      <c r="K443" s="46" t="s">
        <v>1164</v>
      </c>
      <c r="L443" s="47" t="s">
        <v>1163</v>
      </c>
      <c r="M443" s="48">
        <v>0.5</v>
      </c>
      <c r="N443" s="46" t="s">
        <v>1164</v>
      </c>
      <c r="O443" s="47" t="s">
        <v>1163</v>
      </c>
      <c r="P443" s="48">
        <v>0.5</v>
      </c>
      <c r="Q443" s="46" t="s">
        <v>1164</v>
      </c>
      <c r="R443" s="47" t="s">
        <v>1163</v>
      </c>
      <c r="S443" s="48">
        <v>0.3</v>
      </c>
      <c r="T443" s="46" t="s">
        <v>1164</v>
      </c>
      <c r="U443" s="47" t="s">
        <v>1163</v>
      </c>
      <c r="V443" s="48">
        <v>0.4</v>
      </c>
      <c r="W443" s="46" t="s">
        <v>1165</v>
      </c>
      <c r="X443" s="47" t="s">
        <v>2662</v>
      </c>
      <c r="Y443" s="48">
        <v>0.3</v>
      </c>
      <c r="Z443" s="49" t="s">
        <v>1166</v>
      </c>
      <c r="AA443" s="50" t="s">
        <v>1163</v>
      </c>
      <c r="AB443" s="51">
        <v>0.3</v>
      </c>
    </row>
    <row r="444" spans="1:28" ht="13.5" customHeight="1">
      <c r="A444" s="27"/>
      <c r="B444" s="44"/>
      <c r="C444" s="36"/>
      <c r="D444" s="6"/>
      <c r="E444" s="46" t="s">
        <v>1168</v>
      </c>
      <c r="F444" s="47" t="s">
        <v>1167</v>
      </c>
      <c r="G444" s="48">
        <v>0.2</v>
      </c>
      <c r="H444" s="46" t="s">
        <v>1168</v>
      </c>
      <c r="I444" s="47" t="s">
        <v>1167</v>
      </c>
      <c r="J444" s="48">
        <v>0.2</v>
      </c>
      <c r="K444" s="46" t="s">
        <v>1168</v>
      </c>
      <c r="L444" s="47" t="s">
        <v>1167</v>
      </c>
      <c r="M444" s="48">
        <v>0.1</v>
      </c>
      <c r="N444" s="46" t="s">
        <v>1168</v>
      </c>
      <c r="O444" s="47" t="s">
        <v>1167</v>
      </c>
      <c r="P444" s="48">
        <v>0.1</v>
      </c>
      <c r="Q444" s="46" t="s">
        <v>1168</v>
      </c>
      <c r="R444" s="47" t="s">
        <v>1167</v>
      </c>
      <c r="S444" s="48">
        <v>0.2</v>
      </c>
      <c r="T444" s="46" t="s">
        <v>1168</v>
      </c>
      <c r="U444" s="47" t="s">
        <v>1167</v>
      </c>
      <c r="V444" s="48">
        <v>0.2</v>
      </c>
      <c r="W444" s="46" t="s">
        <v>1169</v>
      </c>
      <c r="X444" s="47" t="s">
        <v>2663</v>
      </c>
      <c r="Y444" s="48">
        <v>0.1</v>
      </c>
      <c r="Z444" s="49"/>
      <c r="AA444" s="50"/>
      <c r="AB444" s="51"/>
    </row>
    <row r="445" spans="1:28" ht="13.5" customHeight="1">
      <c r="A445" s="27"/>
      <c r="B445" s="44"/>
      <c r="C445" s="36"/>
      <c r="D445" s="6"/>
      <c r="E445" s="46" t="s">
        <v>1171</v>
      </c>
      <c r="F445" s="47" t="s">
        <v>1170</v>
      </c>
      <c r="G445" s="48">
        <v>0.3</v>
      </c>
      <c r="H445" s="46" t="s">
        <v>1171</v>
      </c>
      <c r="I445" s="47" t="s">
        <v>1170</v>
      </c>
      <c r="J445" s="48">
        <v>0.3</v>
      </c>
      <c r="K445" s="46" t="s">
        <v>1171</v>
      </c>
      <c r="L445" s="47" t="s">
        <v>1170</v>
      </c>
      <c r="M445" s="48">
        <v>0.2</v>
      </c>
      <c r="N445" s="46" t="s">
        <v>1171</v>
      </c>
      <c r="O445" s="47" t="s">
        <v>1170</v>
      </c>
      <c r="P445" s="48">
        <v>0.3</v>
      </c>
      <c r="Q445" s="46" t="s">
        <v>1171</v>
      </c>
      <c r="R445" s="47" t="s">
        <v>1170</v>
      </c>
      <c r="S445" s="48">
        <v>0.2</v>
      </c>
      <c r="T445" s="46" t="s">
        <v>1171</v>
      </c>
      <c r="U445" s="47" t="s">
        <v>1170</v>
      </c>
      <c r="V445" s="48">
        <v>0.3</v>
      </c>
      <c r="W445" s="46" t="s">
        <v>1172</v>
      </c>
      <c r="X445" s="47" t="s">
        <v>2664</v>
      </c>
      <c r="Y445" s="48">
        <v>0.4</v>
      </c>
      <c r="Z445" s="49" t="s">
        <v>1173</v>
      </c>
      <c r="AA445" s="50" t="s">
        <v>1170</v>
      </c>
      <c r="AB445" s="51">
        <v>0.5</v>
      </c>
    </row>
    <row r="446" spans="1:28" ht="13.5" customHeight="1">
      <c r="A446" s="27"/>
      <c r="B446" s="44"/>
      <c r="C446" s="36"/>
      <c r="D446" s="6"/>
      <c r="E446" s="46"/>
      <c r="F446" s="47"/>
      <c r="G446" s="48"/>
      <c r="H446" s="46"/>
      <c r="I446" s="47"/>
      <c r="J446" s="48"/>
      <c r="K446" s="46"/>
      <c r="L446" s="47"/>
      <c r="M446" s="48"/>
      <c r="N446" s="46"/>
      <c r="O446" s="47"/>
      <c r="P446" s="48"/>
      <c r="Q446" s="46"/>
      <c r="R446" s="47"/>
      <c r="S446" s="48"/>
      <c r="T446" s="46"/>
      <c r="U446" s="47"/>
      <c r="V446" s="48"/>
      <c r="W446" s="46"/>
      <c r="X446" s="47"/>
      <c r="Y446" s="48"/>
      <c r="Z446" s="49"/>
      <c r="AA446" s="50"/>
      <c r="AB446" s="51"/>
    </row>
    <row r="447" spans="1:28" ht="13.5" customHeight="1">
      <c r="A447" s="27"/>
      <c r="B447" s="44"/>
      <c r="C447" s="36"/>
      <c r="D447" s="6"/>
      <c r="E447" s="46"/>
      <c r="F447" s="47"/>
      <c r="G447" s="48"/>
      <c r="H447" s="46"/>
      <c r="I447" s="47"/>
      <c r="J447" s="48"/>
      <c r="K447" s="46"/>
      <c r="L447" s="47"/>
      <c r="M447" s="48"/>
      <c r="N447" s="46"/>
      <c r="O447" s="47"/>
      <c r="P447" s="48"/>
      <c r="Q447" s="46"/>
      <c r="R447" s="47"/>
      <c r="S447" s="48"/>
      <c r="T447" s="46"/>
      <c r="U447" s="47"/>
      <c r="V447" s="48"/>
      <c r="W447" s="46"/>
      <c r="X447" s="47"/>
      <c r="Y447" s="48"/>
      <c r="Z447" s="49"/>
      <c r="AA447" s="50"/>
      <c r="AB447" s="51"/>
    </row>
    <row r="448" spans="1:28" ht="13.5" customHeight="1">
      <c r="A448" s="27"/>
      <c r="B448" s="44"/>
      <c r="C448" s="36"/>
      <c r="D448" s="6"/>
      <c r="E448" s="46" t="s">
        <v>1175</v>
      </c>
      <c r="F448" s="47" t="s">
        <v>1174</v>
      </c>
      <c r="G448" s="48">
        <v>0.6</v>
      </c>
      <c r="H448" s="46" t="s">
        <v>1175</v>
      </c>
      <c r="I448" s="47" t="s">
        <v>1174</v>
      </c>
      <c r="J448" s="48">
        <v>0.7</v>
      </c>
      <c r="K448" s="46" t="s">
        <v>1175</v>
      </c>
      <c r="L448" s="47" t="s">
        <v>1174</v>
      </c>
      <c r="M448" s="48">
        <v>0.4</v>
      </c>
      <c r="N448" s="46" t="s">
        <v>1175</v>
      </c>
      <c r="O448" s="47" t="s">
        <v>1174</v>
      </c>
      <c r="P448" s="48">
        <v>0.2</v>
      </c>
      <c r="Q448" s="46" t="s">
        <v>1175</v>
      </c>
      <c r="R448" s="47" t="s">
        <v>1174</v>
      </c>
      <c r="S448" s="48">
        <v>0.2</v>
      </c>
      <c r="T448" s="46" t="s">
        <v>1175</v>
      </c>
      <c r="U448" s="47" t="s">
        <v>1174</v>
      </c>
      <c r="V448" s="48">
        <v>0.2</v>
      </c>
      <c r="W448" s="46" t="s">
        <v>841</v>
      </c>
      <c r="X448" s="47" t="s">
        <v>2665</v>
      </c>
      <c r="Y448" s="48">
        <v>0.1</v>
      </c>
      <c r="Z448" s="49" t="s">
        <v>1176</v>
      </c>
      <c r="AA448" s="50" t="s">
        <v>1177</v>
      </c>
      <c r="AB448" s="51">
        <v>0.1</v>
      </c>
    </row>
    <row r="449" spans="1:28" ht="13.5" customHeight="1">
      <c r="A449" s="27"/>
      <c r="B449" s="44"/>
      <c r="C449" s="36"/>
      <c r="D449" s="6"/>
      <c r="E449" s="46" t="s">
        <v>1179</v>
      </c>
      <c r="F449" s="47" t="s">
        <v>1178</v>
      </c>
      <c r="G449" s="48">
        <v>1</v>
      </c>
      <c r="H449" s="46" t="s">
        <v>1179</v>
      </c>
      <c r="I449" s="47" t="s">
        <v>1178</v>
      </c>
      <c r="J449" s="48">
        <v>1</v>
      </c>
      <c r="K449" s="46" t="s">
        <v>1179</v>
      </c>
      <c r="L449" s="47" t="s">
        <v>1178</v>
      </c>
      <c r="M449" s="48">
        <v>1.1000000000000001</v>
      </c>
      <c r="N449" s="46" t="s">
        <v>1179</v>
      </c>
      <c r="O449" s="47" t="s">
        <v>1178</v>
      </c>
      <c r="P449" s="48">
        <v>0.6</v>
      </c>
      <c r="Q449" s="46" t="s">
        <v>1179</v>
      </c>
      <c r="R449" s="47" t="s">
        <v>1178</v>
      </c>
      <c r="S449" s="48">
        <v>0.6</v>
      </c>
      <c r="T449" s="46" t="s">
        <v>1179</v>
      </c>
      <c r="U449" s="47" t="s">
        <v>1178</v>
      </c>
      <c r="V449" s="48">
        <v>0.8</v>
      </c>
      <c r="W449" s="46" t="s">
        <v>829</v>
      </c>
      <c r="X449" s="47" t="s">
        <v>2666</v>
      </c>
      <c r="Y449" s="48">
        <v>0.1</v>
      </c>
      <c r="Z449" s="49"/>
      <c r="AA449" s="50"/>
      <c r="AB449" s="51"/>
    </row>
    <row r="450" spans="1:28" ht="13.5" customHeight="1">
      <c r="A450" s="27"/>
      <c r="B450" s="44"/>
      <c r="C450" s="36"/>
      <c r="D450" s="6"/>
      <c r="E450" s="46" t="s">
        <v>1181</v>
      </c>
      <c r="F450" s="47" t="s">
        <v>1180</v>
      </c>
      <c r="G450" s="48">
        <v>0.3</v>
      </c>
      <c r="H450" s="46" t="s">
        <v>1181</v>
      </c>
      <c r="I450" s="47" t="s">
        <v>1180</v>
      </c>
      <c r="J450" s="48">
        <v>0.4</v>
      </c>
      <c r="K450" s="46" t="s">
        <v>1181</v>
      </c>
      <c r="L450" s="47" t="s">
        <v>1180</v>
      </c>
      <c r="M450" s="48">
        <v>0.3</v>
      </c>
      <c r="N450" s="46" t="s">
        <v>1181</v>
      </c>
      <c r="O450" s="47" t="s">
        <v>1180</v>
      </c>
      <c r="P450" s="48">
        <v>0.2</v>
      </c>
      <c r="Q450" s="46" t="s">
        <v>1181</v>
      </c>
      <c r="R450" s="47" t="s">
        <v>1180</v>
      </c>
      <c r="S450" s="48">
        <v>0.2</v>
      </c>
      <c r="T450" s="46" t="s">
        <v>1181</v>
      </c>
      <c r="U450" s="47" t="s">
        <v>1180</v>
      </c>
      <c r="V450" s="48">
        <v>0.2</v>
      </c>
      <c r="W450" s="46" t="s">
        <v>1182</v>
      </c>
      <c r="X450" s="47" t="s">
        <v>2667</v>
      </c>
      <c r="Y450" s="48">
        <v>0.2</v>
      </c>
      <c r="Z450" s="49"/>
      <c r="AA450" s="50"/>
      <c r="AB450" s="51"/>
    </row>
    <row r="451" spans="1:28" ht="13.5" customHeight="1">
      <c r="A451" s="27"/>
      <c r="B451" s="44"/>
      <c r="C451" s="36"/>
      <c r="D451" s="6"/>
      <c r="E451" s="46" t="s">
        <v>1184</v>
      </c>
      <c r="F451" s="56" t="s">
        <v>1183</v>
      </c>
      <c r="G451" s="48">
        <v>0.1</v>
      </c>
      <c r="H451" s="46" t="s">
        <v>1184</v>
      </c>
      <c r="I451" s="56" t="s">
        <v>1183</v>
      </c>
      <c r="J451" s="48">
        <v>0.1</v>
      </c>
      <c r="K451" s="46" t="s">
        <v>1184</v>
      </c>
      <c r="L451" s="56" t="s">
        <v>1183</v>
      </c>
      <c r="M451" s="48">
        <v>0.1</v>
      </c>
      <c r="N451" s="46" t="s">
        <v>1184</v>
      </c>
      <c r="O451" s="56" t="s">
        <v>1183</v>
      </c>
      <c r="P451" s="48">
        <v>0.2</v>
      </c>
      <c r="Q451" s="57" t="s">
        <v>1184</v>
      </c>
      <c r="R451" s="56" t="s">
        <v>1183</v>
      </c>
      <c r="S451" s="58">
        <v>0.2</v>
      </c>
      <c r="T451" s="57" t="s">
        <v>1184</v>
      </c>
      <c r="U451" s="56" t="s">
        <v>1183</v>
      </c>
      <c r="V451" s="58">
        <v>0.2</v>
      </c>
      <c r="W451" s="57" t="s">
        <v>1185</v>
      </c>
      <c r="X451" s="56" t="s">
        <v>2668</v>
      </c>
      <c r="Y451" s="58">
        <v>0.2</v>
      </c>
      <c r="Z451" s="59" t="s">
        <v>1186</v>
      </c>
      <c r="AA451" s="60" t="s">
        <v>1183</v>
      </c>
      <c r="AB451" s="61">
        <v>0.2</v>
      </c>
    </row>
    <row r="452" spans="1:28" ht="13.5" customHeight="1">
      <c r="A452" s="27"/>
      <c r="B452" s="44"/>
      <c r="C452" s="28" t="s">
        <v>1187</v>
      </c>
      <c r="D452" s="30" t="s">
        <v>1188</v>
      </c>
      <c r="E452" s="37" t="s">
        <v>1189</v>
      </c>
      <c r="F452" s="71"/>
      <c r="G452" s="39">
        <f>SUM(G453:G454)</f>
        <v>5</v>
      </c>
      <c r="H452" s="37" t="s">
        <v>1189</v>
      </c>
      <c r="I452" s="71"/>
      <c r="J452" s="39">
        <f>SUM(J453:J454)</f>
        <v>5.6</v>
      </c>
      <c r="K452" s="37" t="s">
        <v>1189</v>
      </c>
      <c r="L452" s="71"/>
      <c r="M452" s="39">
        <f>SUM(M453:M454)</f>
        <v>4.5</v>
      </c>
      <c r="N452" s="37" t="s">
        <v>1189</v>
      </c>
      <c r="O452" s="71"/>
      <c r="P452" s="39">
        <f>SUM(P453:P454)</f>
        <v>5.3</v>
      </c>
      <c r="Q452" s="37" t="s">
        <v>1189</v>
      </c>
      <c r="R452" s="71"/>
      <c r="S452" s="39">
        <f>SUM(S453:S454)</f>
        <v>5.2</v>
      </c>
      <c r="T452" s="37" t="s">
        <v>1189</v>
      </c>
      <c r="U452" s="71"/>
      <c r="V452" s="39">
        <f>SUM(V453:V454)</f>
        <v>6.3999999999999995</v>
      </c>
      <c r="W452" s="72"/>
      <c r="X452" s="71"/>
      <c r="Y452" s="39">
        <f>SUM(Y453:Y454)</f>
        <v>2.0999999999999996</v>
      </c>
      <c r="Z452" s="42"/>
      <c r="AA452" s="43"/>
      <c r="AB452" s="39">
        <f>SUM(AB453:AB454)</f>
        <v>2.8</v>
      </c>
    </row>
    <row r="453" spans="1:28" ht="13.5" customHeight="1">
      <c r="A453" s="27"/>
      <c r="B453" s="44"/>
      <c r="C453" s="44"/>
      <c r="D453" s="45"/>
      <c r="E453" s="46" t="s">
        <v>1191</v>
      </c>
      <c r="F453" s="47" t="s">
        <v>1190</v>
      </c>
      <c r="G453" s="48">
        <v>2.4</v>
      </c>
      <c r="H453" s="46" t="s">
        <v>1191</v>
      </c>
      <c r="I453" s="47" t="s">
        <v>1190</v>
      </c>
      <c r="J453" s="48">
        <v>2.7</v>
      </c>
      <c r="K453" s="46" t="s">
        <v>1191</v>
      </c>
      <c r="L453" s="47" t="s">
        <v>1190</v>
      </c>
      <c r="M453" s="48">
        <v>3.1</v>
      </c>
      <c r="N453" s="46" t="s">
        <v>1191</v>
      </c>
      <c r="O453" s="47" t="s">
        <v>1190</v>
      </c>
      <c r="P453" s="48">
        <v>3.6</v>
      </c>
      <c r="Q453" s="46" t="s">
        <v>1191</v>
      </c>
      <c r="R453" s="47" t="s">
        <v>1190</v>
      </c>
      <c r="S453" s="48">
        <v>4.2</v>
      </c>
      <c r="T453" s="46" t="s">
        <v>1191</v>
      </c>
      <c r="U453" s="47" t="s">
        <v>1190</v>
      </c>
      <c r="V453" s="48">
        <v>5.0999999999999996</v>
      </c>
      <c r="W453" s="46" t="s">
        <v>1192</v>
      </c>
      <c r="X453" s="47" t="s">
        <v>2669</v>
      </c>
      <c r="Y453" s="48">
        <v>1.4</v>
      </c>
      <c r="Z453" s="49" t="s">
        <v>1193</v>
      </c>
      <c r="AA453" s="50" t="s">
        <v>1194</v>
      </c>
      <c r="AB453" s="51">
        <v>2.8</v>
      </c>
    </row>
    <row r="454" spans="1:28" ht="13.5" customHeight="1">
      <c r="A454" s="145"/>
      <c r="B454" s="114"/>
      <c r="C454" s="82"/>
      <c r="D454" s="83"/>
      <c r="E454" s="46" t="s">
        <v>1196</v>
      </c>
      <c r="F454" s="163" t="s">
        <v>1195</v>
      </c>
      <c r="G454" s="48">
        <v>2.6</v>
      </c>
      <c r="H454" s="46" t="s">
        <v>1196</v>
      </c>
      <c r="I454" s="163" t="s">
        <v>1195</v>
      </c>
      <c r="J454" s="48">
        <v>2.9</v>
      </c>
      <c r="K454" s="46" t="s">
        <v>1196</v>
      </c>
      <c r="L454" s="163" t="s">
        <v>1195</v>
      </c>
      <c r="M454" s="48">
        <v>1.4</v>
      </c>
      <c r="N454" s="46" t="s">
        <v>1196</v>
      </c>
      <c r="O454" s="163" t="s">
        <v>1195</v>
      </c>
      <c r="P454" s="48">
        <v>1.7</v>
      </c>
      <c r="Q454" s="116" t="s">
        <v>1196</v>
      </c>
      <c r="R454" s="163" t="s">
        <v>1195</v>
      </c>
      <c r="S454" s="77">
        <v>1</v>
      </c>
      <c r="T454" s="116" t="s">
        <v>1196</v>
      </c>
      <c r="U454" s="163" t="s">
        <v>1195</v>
      </c>
      <c r="V454" s="77">
        <v>1.3</v>
      </c>
      <c r="W454" s="116" t="s">
        <v>2670</v>
      </c>
      <c r="X454" s="163" t="s">
        <v>2671</v>
      </c>
      <c r="Y454" s="77">
        <v>0.7</v>
      </c>
      <c r="Z454" s="78"/>
      <c r="AA454" s="79"/>
      <c r="AB454" s="80"/>
    </row>
    <row r="455" spans="1:28" ht="13.5" customHeight="1">
      <c r="A455" s="19" t="s">
        <v>1197</v>
      </c>
      <c r="B455" s="21"/>
      <c r="C455" s="21"/>
      <c r="D455" s="6" t="s">
        <v>1198</v>
      </c>
      <c r="E455" s="98"/>
      <c r="F455" s="164"/>
      <c r="G455" s="100">
        <f>SUM(G456,G504,G527)</f>
        <v>84</v>
      </c>
      <c r="H455" s="98"/>
      <c r="I455" s="164"/>
      <c r="J455" s="100">
        <f>SUM(J456,J504,J527)</f>
        <v>87.199999999999989</v>
      </c>
      <c r="K455" s="98"/>
      <c r="L455" s="164"/>
      <c r="M455" s="100">
        <f>SUM(M456,M504,M527)</f>
        <v>69.8</v>
      </c>
      <c r="N455" s="98"/>
      <c r="O455" s="164"/>
      <c r="P455" s="100">
        <f>SUM(P456,P504,P527)</f>
        <v>68.699999999999989</v>
      </c>
      <c r="Q455" s="98"/>
      <c r="R455" s="164"/>
      <c r="S455" s="100">
        <f>SUM(S456,S504,S527)</f>
        <v>72.900000000000006</v>
      </c>
      <c r="T455" s="98"/>
      <c r="U455" s="164"/>
      <c r="V455" s="100">
        <f>SUM(V456,V504,V527)</f>
        <v>73.100000000000009</v>
      </c>
      <c r="W455" s="98"/>
      <c r="X455" s="164"/>
      <c r="Y455" s="100">
        <f>SUM(Y456,Y504,Y527)</f>
        <v>52.8</v>
      </c>
      <c r="Z455" s="94"/>
      <c r="AA455" s="95"/>
      <c r="AB455" s="100">
        <f>SUM(AB456,AB504,AB527)</f>
        <v>46.899999999999991</v>
      </c>
    </row>
    <row r="456" spans="1:28" ht="13.5" customHeight="1">
      <c r="A456" s="104"/>
      <c r="B456" s="28" t="s">
        <v>1199</v>
      </c>
      <c r="C456" s="29"/>
      <c r="D456" s="30" t="s">
        <v>1200</v>
      </c>
      <c r="E456" s="31" t="s">
        <v>1201</v>
      </c>
      <c r="F456" s="165"/>
      <c r="G456" s="33">
        <f>G457+G489</f>
        <v>35.300000000000004</v>
      </c>
      <c r="H456" s="31" t="s">
        <v>1201</v>
      </c>
      <c r="I456" s="165"/>
      <c r="J456" s="33">
        <f>J457+J489</f>
        <v>36.200000000000003</v>
      </c>
      <c r="K456" s="31" t="s">
        <v>1201</v>
      </c>
      <c r="L456" s="165"/>
      <c r="M456" s="33">
        <f>M457+M489</f>
        <v>27.3</v>
      </c>
      <c r="N456" s="31" t="s">
        <v>1201</v>
      </c>
      <c r="O456" s="165"/>
      <c r="P456" s="33">
        <f>P457+P489</f>
        <v>27.199999999999996</v>
      </c>
      <c r="Q456" s="31" t="s">
        <v>1201</v>
      </c>
      <c r="R456" s="165"/>
      <c r="S456" s="33">
        <f>S457+S489</f>
        <v>26</v>
      </c>
      <c r="T456" s="31" t="s">
        <v>1201</v>
      </c>
      <c r="U456" s="165"/>
      <c r="V456" s="33">
        <f>V457+V489</f>
        <v>27.500000000000004</v>
      </c>
      <c r="W456" s="166"/>
      <c r="X456" s="165"/>
      <c r="Y456" s="33">
        <f>Y457+Y489</f>
        <v>21.599999999999998</v>
      </c>
      <c r="Z456" s="65"/>
      <c r="AA456" s="66"/>
      <c r="AB456" s="33">
        <f>AB457+AB489</f>
        <v>26.6</v>
      </c>
    </row>
    <row r="457" spans="1:28" ht="13.5" customHeight="1">
      <c r="A457" s="104"/>
      <c r="B457" s="36"/>
      <c r="C457" s="28" t="s">
        <v>1202</v>
      </c>
      <c r="D457" s="30" t="s">
        <v>1203</v>
      </c>
      <c r="E457" s="37" t="s">
        <v>1204</v>
      </c>
      <c r="F457" s="167"/>
      <c r="G457" s="39">
        <f>SUM(G458:G488)</f>
        <v>25.000000000000004</v>
      </c>
      <c r="H457" s="37" t="s">
        <v>1204</v>
      </c>
      <c r="I457" s="167"/>
      <c r="J457" s="39">
        <f>SUM(J458:J488)</f>
        <v>25.000000000000004</v>
      </c>
      <c r="K457" s="37" t="s">
        <v>1204</v>
      </c>
      <c r="L457" s="167"/>
      <c r="M457" s="39">
        <f>SUM(M458:M488)</f>
        <v>19.900000000000002</v>
      </c>
      <c r="N457" s="37" t="s">
        <v>1204</v>
      </c>
      <c r="O457" s="167"/>
      <c r="P457" s="39">
        <f>SUM(P458:P488)</f>
        <v>19.099999999999998</v>
      </c>
      <c r="Q457" s="37" t="s">
        <v>1204</v>
      </c>
      <c r="R457" s="167"/>
      <c r="S457" s="39">
        <f>SUM(S458:S485)</f>
        <v>19.3</v>
      </c>
      <c r="T457" s="37" t="s">
        <v>1204</v>
      </c>
      <c r="U457" s="167"/>
      <c r="V457" s="39">
        <f>SUM(V458:V488)</f>
        <v>20.300000000000004</v>
      </c>
      <c r="W457" s="168"/>
      <c r="X457" s="167"/>
      <c r="Y457" s="39">
        <f>SUM(Y458:Y485)</f>
        <v>16.2</v>
      </c>
      <c r="Z457" s="42"/>
      <c r="AA457" s="43"/>
      <c r="AB457" s="39">
        <f>SUM(AB458:AB485)</f>
        <v>21.400000000000002</v>
      </c>
    </row>
    <row r="458" spans="1:28" ht="13.5" customHeight="1">
      <c r="A458" s="27"/>
      <c r="B458" s="105"/>
      <c r="C458" s="44"/>
      <c r="D458" s="45"/>
      <c r="E458" s="46" t="s">
        <v>1206</v>
      </c>
      <c r="F458" s="47" t="s">
        <v>1205</v>
      </c>
      <c r="G458" s="48">
        <v>5.8</v>
      </c>
      <c r="H458" s="46" t="s">
        <v>1206</v>
      </c>
      <c r="I458" s="47" t="s">
        <v>1205</v>
      </c>
      <c r="J458" s="48">
        <v>5.8</v>
      </c>
      <c r="K458" s="46" t="s">
        <v>1257</v>
      </c>
      <c r="L458" s="47" t="s">
        <v>1205</v>
      </c>
      <c r="M458" s="48">
        <v>5.0999999999999996</v>
      </c>
      <c r="N458" s="46" t="s">
        <v>1257</v>
      </c>
      <c r="O458" s="47" t="s">
        <v>1205</v>
      </c>
      <c r="P458" s="48">
        <v>4.7</v>
      </c>
      <c r="Q458" s="55" t="s">
        <v>1206</v>
      </c>
      <c r="R458" s="47" t="s">
        <v>1205</v>
      </c>
      <c r="S458" s="48">
        <v>6.6</v>
      </c>
      <c r="T458" s="55" t="s">
        <v>1206</v>
      </c>
      <c r="U458" s="47" t="s">
        <v>1205</v>
      </c>
      <c r="V458" s="48">
        <v>6.2</v>
      </c>
      <c r="W458" s="55" t="s">
        <v>1207</v>
      </c>
      <c r="X458" s="47" t="s">
        <v>2672</v>
      </c>
      <c r="Y458" s="48">
        <v>4.7</v>
      </c>
      <c r="Z458" s="49" t="s">
        <v>1208</v>
      </c>
      <c r="AA458" s="50" t="s">
        <v>1209</v>
      </c>
      <c r="AB458" s="51">
        <v>3.4</v>
      </c>
    </row>
    <row r="459" spans="1:28" ht="13.5" customHeight="1">
      <c r="A459" s="27"/>
      <c r="B459" s="44"/>
      <c r="C459" s="44"/>
      <c r="D459" s="6"/>
      <c r="E459" s="46"/>
      <c r="F459" s="47"/>
      <c r="G459" s="48"/>
      <c r="H459" s="46"/>
      <c r="I459" s="47"/>
      <c r="J459" s="48"/>
      <c r="K459" s="46"/>
      <c r="L459" s="47"/>
      <c r="M459" s="48"/>
      <c r="N459" s="46"/>
      <c r="O459" s="47"/>
      <c r="P459" s="48"/>
      <c r="Q459" s="55"/>
      <c r="R459" s="47"/>
      <c r="S459" s="48"/>
      <c r="T459" s="55"/>
      <c r="U459" s="47"/>
      <c r="V459" s="48"/>
      <c r="W459" s="55"/>
      <c r="X459" s="47"/>
      <c r="Y459" s="48"/>
      <c r="Z459" s="49" t="s">
        <v>1207</v>
      </c>
      <c r="AA459" s="50" t="s">
        <v>1210</v>
      </c>
      <c r="AB459" s="51">
        <v>1</v>
      </c>
    </row>
    <row r="460" spans="1:28" ht="13.5" customHeight="1">
      <c r="A460" s="27"/>
      <c r="B460" s="44"/>
      <c r="C460" s="44"/>
      <c r="D460" s="6"/>
      <c r="E460" s="46"/>
      <c r="F460" s="47"/>
      <c r="G460" s="48"/>
      <c r="H460" s="46"/>
      <c r="I460" s="47"/>
      <c r="J460" s="48"/>
      <c r="K460" s="46"/>
      <c r="L460" s="47"/>
      <c r="M460" s="48"/>
      <c r="N460" s="46"/>
      <c r="O460" s="47"/>
      <c r="P460" s="48"/>
      <c r="Q460" s="55"/>
      <c r="R460" s="47"/>
      <c r="S460" s="48"/>
      <c r="T460" s="55"/>
      <c r="U460" s="47"/>
      <c r="V460" s="48"/>
      <c r="W460" s="55"/>
      <c r="X460" s="47"/>
      <c r="Y460" s="48"/>
      <c r="Z460" s="49" t="s">
        <v>1211</v>
      </c>
      <c r="AA460" s="50" t="s">
        <v>1212</v>
      </c>
      <c r="AB460" s="51">
        <v>1</v>
      </c>
    </row>
    <row r="461" spans="1:28" ht="13.5" customHeight="1">
      <c r="A461" s="27"/>
      <c r="B461" s="44"/>
      <c r="C461" s="36"/>
      <c r="D461" s="6"/>
      <c r="E461" s="46"/>
      <c r="F461" s="47"/>
      <c r="G461" s="48"/>
      <c r="H461" s="46"/>
      <c r="I461" s="47"/>
      <c r="J461" s="48"/>
      <c r="K461" s="46"/>
      <c r="L461" s="47"/>
      <c r="M461" s="48"/>
      <c r="N461" s="46"/>
      <c r="O461" s="47"/>
      <c r="P461" s="48"/>
      <c r="Q461" s="55"/>
      <c r="R461" s="47"/>
      <c r="S461" s="48"/>
      <c r="T461" s="55"/>
      <c r="U461" s="47"/>
      <c r="V461" s="48"/>
      <c r="W461" s="55"/>
      <c r="X461" s="47"/>
      <c r="Y461" s="48"/>
      <c r="Z461" s="49" t="s">
        <v>1213</v>
      </c>
      <c r="AA461" s="50" t="s">
        <v>1214</v>
      </c>
      <c r="AB461" s="51">
        <v>0.9</v>
      </c>
    </row>
    <row r="462" spans="1:28" ht="13.5" customHeight="1">
      <c r="A462" s="27"/>
      <c r="B462" s="44"/>
      <c r="C462" s="36"/>
      <c r="D462" s="6"/>
      <c r="E462" s="46"/>
      <c r="F462" s="47"/>
      <c r="G462" s="48"/>
      <c r="H462" s="46"/>
      <c r="I462" s="47"/>
      <c r="J462" s="48"/>
      <c r="K462" s="46"/>
      <c r="L462" s="47"/>
      <c r="M462" s="48"/>
      <c r="N462" s="46"/>
      <c r="O462" s="47"/>
      <c r="P462" s="48"/>
      <c r="Q462" s="55"/>
      <c r="R462" s="47"/>
      <c r="S462" s="48"/>
      <c r="T462" s="55"/>
      <c r="U462" s="47"/>
      <c r="V462" s="48"/>
      <c r="W462" s="55"/>
      <c r="X462" s="47"/>
      <c r="Y462" s="48"/>
      <c r="Z462" s="49" t="s">
        <v>1215</v>
      </c>
      <c r="AA462" s="50" t="s">
        <v>1216</v>
      </c>
      <c r="AB462" s="51">
        <v>0.7</v>
      </c>
    </row>
    <row r="463" spans="1:28" ht="13.5" customHeight="1">
      <c r="A463" s="27"/>
      <c r="B463" s="44"/>
      <c r="C463" s="36"/>
      <c r="D463" s="6"/>
      <c r="E463" s="46"/>
      <c r="F463" s="47"/>
      <c r="G463" s="48"/>
      <c r="H463" s="46"/>
      <c r="I463" s="47"/>
      <c r="J463" s="48"/>
      <c r="K463" s="46"/>
      <c r="L463" s="47"/>
      <c r="M463" s="48"/>
      <c r="N463" s="46"/>
      <c r="O463" s="47"/>
      <c r="P463" s="48"/>
      <c r="Q463" s="55"/>
      <c r="R463" s="47"/>
      <c r="S463" s="48"/>
      <c r="T463" s="55"/>
      <c r="U463" s="47"/>
      <c r="V463" s="48"/>
      <c r="W463" s="55"/>
      <c r="X463" s="47"/>
      <c r="Y463" s="48"/>
      <c r="Z463" s="49" t="s">
        <v>1217</v>
      </c>
      <c r="AA463" s="50" t="s">
        <v>1218</v>
      </c>
      <c r="AB463" s="51">
        <v>0.7</v>
      </c>
    </row>
    <row r="464" spans="1:28" ht="13.5" customHeight="1">
      <c r="A464" s="27"/>
      <c r="B464" s="44"/>
      <c r="C464" s="36"/>
      <c r="D464" s="6"/>
      <c r="E464" s="46"/>
      <c r="F464" s="47"/>
      <c r="G464" s="48"/>
      <c r="H464" s="46"/>
      <c r="I464" s="47"/>
      <c r="J464" s="48"/>
      <c r="K464" s="46"/>
      <c r="L464" s="47"/>
      <c r="M464" s="48"/>
      <c r="N464" s="46"/>
      <c r="O464" s="47"/>
      <c r="P464" s="48"/>
      <c r="Q464" s="55"/>
      <c r="R464" s="47"/>
      <c r="S464" s="48"/>
      <c r="T464" s="55"/>
      <c r="U464" s="47"/>
      <c r="V464" s="48"/>
      <c r="W464" s="55"/>
      <c r="X464" s="47"/>
      <c r="Y464" s="48"/>
      <c r="Z464" s="49" t="s">
        <v>1219</v>
      </c>
      <c r="AA464" s="50" t="s">
        <v>1220</v>
      </c>
      <c r="AB464" s="51">
        <v>0.6</v>
      </c>
    </row>
    <row r="465" spans="1:28" ht="13.5" customHeight="1">
      <c r="A465" s="27"/>
      <c r="B465" s="44"/>
      <c r="C465" s="36"/>
      <c r="D465" s="6"/>
      <c r="E465" s="46"/>
      <c r="F465" s="47"/>
      <c r="G465" s="48"/>
      <c r="H465" s="46"/>
      <c r="I465" s="47"/>
      <c r="J465" s="48"/>
      <c r="K465" s="46"/>
      <c r="L465" s="47"/>
      <c r="M465" s="48"/>
      <c r="N465" s="46"/>
      <c r="O465" s="47"/>
      <c r="P465" s="48"/>
      <c r="Q465" s="55"/>
      <c r="R465" s="47"/>
      <c r="S465" s="48"/>
      <c r="T465" s="55"/>
      <c r="U465" s="47"/>
      <c r="V465" s="48"/>
      <c r="W465" s="55"/>
      <c r="X465" s="47"/>
      <c r="Y465" s="48"/>
      <c r="Z465" s="49" t="s">
        <v>1221</v>
      </c>
      <c r="AA465" s="50" t="s">
        <v>1222</v>
      </c>
      <c r="AB465" s="51">
        <v>0.5</v>
      </c>
    </row>
    <row r="466" spans="1:28" ht="13.5" customHeight="1">
      <c r="A466" s="27"/>
      <c r="B466" s="44"/>
      <c r="C466" s="36"/>
      <c r="D466" s="6"/>
      <c r="E466" s="46"/>
      <c r="F466" s="47"/>
      <c r="G466" s="48"/>
      <c r="H466" s="46"/>
      <c r="I466" s="47"/>
      <c r="J466" s="48"/>
      <c r="K466" s="46"/>
      <c r="L466" s="47"/>
      <c r="M466" s="48"/>
      <c r="N466" s="46"/>
      <c r="O466" s="47"/>
      <c r="P466" s="48"/>
      <c r="Q466" s="55"/>
      <c r="R466" s="47"/>
      <c r="S466" s="48"/>
      <c r="T466" s="55"/>
      <c r="U466" s="47"/>
      <c r="V466" s="48"/>
      <c r="W466" s="55"/>
      <c r="X466" s="47"/>
      <c r="Y466" s="48"/>
      <c r="Z466" s="49" t="s">
        <v>1223</v>
      </c>
      <c r="AA466" s="50" t="s">
        <v>1224</v>
      </c>
      <c r="AB466" s="51">
        <v>0.3</v>
      </c>
    </row>
    <row r="467" spans="1:28" ht="13.5" customHeight="1">
      <c r="A467" s="27"/>
      <c r="B467" s="44"/>
      <c r="C467" s="36"/>
      <c r="D467" s="6"/>
      <c r="E467" s="46" t="s">
        <v>1226</v>
      </c>
      <c r="F467" s="47" t="s">
        <v>1225</v>
      </c>
      <c r="G467" s="48">
        <v>0.4</v>
      </c>
      <c r="H467" s="46" t="s">
        <v>1226</v>
      </c>
      <c r="I467" s="47" t="s">
        <v>1225</v>
      </c>
      <c r="J467" s="48">
        <v>0.4</v>
      </c>
      <c r="K467" s="46" t="s">
        <v>1226</v>
      </c>
      <c r="L467" s="47" t="s">
        <v>1225</v>
      </c>
      <c r="M467" s="48">
        <v>0.3</v>
      </c>
      <c r="N467" s="46" t="s">
        <v>1226</v>
      </c>
      <c r="O467" s="47" t="s">
        <v>1225</v>
      </c>
      <c r="P467" s="48">
        <v>0.3</v>
      </c>
      <c r="Q467" s="55" t="s">
        <v>1226</v>
      </c>
      <c r="R467" s="47" t="s">
        <v>1225</v>
      </c>
      <c r="S467" s="48">
        <v>0.3</v>
      </c>
      <c r="T467" s="55" t="s">
        <v>1226</v>
      </c>
      <c r="U467" s="47" t="s">
        <v>1225</v>
      </c>
      <c r="V467" s="48">
        <v>0.3</v>
      </c>
      <c r="W467" s="55" t="s">
        <v>1227</v>
      </c>
      <c r="X467" s="47" t="s">
        <v>2673</v>
      </c>
      <c r="Y467" s="48">
        <v>0.4</v>
      </c>
      <c r="Z467" s="49" t="s">
        <v>1227</v>
      </c>
      <c r="AA467" s="50" t="s">
        <v>1228</v>
      </c>
      <c r="AB467" s="51">
        <v>0.8</v>
      </c>
    </row>
    <row r="468" spans="1:28" ht="13.5" customHeight="1">
      <c r="A468" s="27"/>
      <c r="B468" s="44"/>
      <c r="C468" s="36"/>
      <c r="D468" s="6"/>
      <c r="E468" s="46" t="s">
        <v>1230</v>
      </c>
      <c r="F468" s="47" t="s">
        <v>1229</v>
      </c>
      <c r="G468" s="48">
        <v>0.4</v>
      </c>
      <c r="H468" s="46" t="s">
        <v>1230</v>
      </c>
      <c r="I468" s="47" t="s">
        <v>1229</v>
      </c>
      <c r="J468" s="48">
        <v>0.4</v>
      </c>
      <c r="K468" s="46" t="s">
        <v>1230</v>
      </c>
      <c r="L468" s="47" t="s">
        <v>1229</v>
      </c>
      <c r="M468" s="48">
        <v>0.3</v>
      </c>
      <c r="N468" s="46" t="s">
        <v>1230</v>
      </c>
      <c r="O468" s="47" t="s">
        <v>1229</v>
      </c>
      <c r="P468" s="48">
        <v>0.3</v>
      </c>
      <c r="Q468" s="55" t="s">
        <v>1230</v>
      </c>
      <c r="R468" s="47" t="s">
        <v>1229</v>
      </c>
      <c r="S468" s="48">
        <v>0.3</v>
      </c>
      <c r="T468" s="55" t="s">
        <v>1230</v>
      </c>
      <c r="U468" s="47" t="s">
        <v>1229</v>
      </c>
      <c r="V468" s="48">
        <v>0.3</v>
      </c>
      <c r="W468" s="55" t="s">
        <v>1231</v>
      </c>
      <c r="X468" s="47" t="s">
        <v>2674</v>
      </c>
      <c r="Y468" s="48">
        <v>0.4</v>
      </c>
      <c r="Z468" s="49" t="s">
        <v>1231</v>
      </c>
      <c r="AA468" s="50" t="s">
        <v>1232</v>
      </c>
      <c r="AB468" s="51">
        <v>0.8</v>
      </c>
    </row>
    <row r="469" spans="1:28" ht="13.5" customHeight="1">
      <c r="A469" s="27"/>
      <c r="B469" s="44"/>
      <c r="C469" s="36"/>
      <c r="D469" s="6"/>
      <c r="E469" s="46" t="s">
        <v>1234</v>
      </c>
      <c r="F469" s="47" t="s">
        <v>1233</v>
      </c>
      <c r="G469" s="48">
        <v>0.3</v>
      </c>
      <c r="H469" s="46" t="s">
        <v>1234</v>
      </c>
      <c r="I469" s="47" t="s">
        <v>1233</v>
      </c>
      <c r="J469" s="48">
        <v>0.3</v>
      </c>
      <c r="K469" s="46" t="s">
        <v>1234</v>
      </c>
      <c r="L469" s="47" t="s">
        <v>1233</v>
      </c>
      <c r="M469" s="48">
        <v>0.2</v>
      </c>
      <c r="N469" s="46" t="s">
        <v>1234</v>
      </c>
      <c r="O469" s="47" t="s">
        <v>1233</v>
      </c>
      <c r="P469" s="48">
        <v>0.2</v>
      </c>
      <c r="Q469" s="55" t="s">
        <v>1234</v>
      </c>
      <c r="R469" s="47" t="s">
        <v>1233</v>
      </c>
      <c r="S469" s="48">
        <v>0.2</v>
      </c>
      <c r="T469" s="55" t="s">
        <v>1234</v>
      </c>
      <c r="U469" s="47" t="s">
        <v>1233</v>
      </c>
      <c r="V469" s="48">
        <v>0.2</v>
      </c>
      <c r="W469" s="55" t="s">
        <v>1235</v>
      </c>
      <c r="X469" s="47" t="s">
        <v>2675</v>
      </c>
      <c r="Y469" s="48">
        <v>0.3</v>
      </c>
      <c r="Z469" s="49" t="s">
        <v>1235</v>
      </c>
      <c r="AA469" s="50" t="s">
        <v>1236</v>
      </c>
      <c r="AB469" s="51">
        <v>0.9</v>
      </c>
    </row>
    <row r="470" spans="1:28" ht="13.5" customHeight="1">
      <c r="A470" s="27"/>
      <c r="B470" s="44"/>
      <c r="C470" s="36"/>
      <c r="D470" s="6"/>
      <c r="E470" s="46"/>
      <c r="F470" s="47"/>
      <c r="G470" s="48"/>
      <c r="H470" s="46"/>
      <c r="I470" s="47"/>
      <c r="J470" s="48"/>
      <c r="K470" s="46" t="s">
        <v>1238</v>
      </c>
      <c r="L470" s="47" t="s">
        <v>1237</v>
      </c>
      <c r="M470" s="48">
        <v>0.2</v>
      </c>
      <c r="N470" s="46" t="s">
        <v>1238</v>
      </c>
      <c r="O470" s="47" t="s">
        <v>1237</v>
      </c>
      <c r="P470" s="48">
        <v>0.1</v>
      </c>
      <c r="Q470" s="55" t="s">
        <v>1238</v>
      </c>
      <c r="R470" s="47" t="s">
        <v>1237</v>
      </c>
      <c r="S470" s="48">
        <v>0.2</v>
      </c>
      <c r="T470" s="55" t="s">
        <v>1238</v>
      </c>
      <c r="U470" s="47" t="s">
        <v>1237</v>
      </c>
      <c r="V470" s="48">
        <v>0.3</v>
      </c>
      <c r="W470" s="55" t="s">
        <v>1239</v>
      </c>
      <c r="X470" s="47" t="s">
        <v>2676</v>
      </c>
      <c r="Y470" s="48">
        <v>0.3</v>
      </c>
      <c r="Z470" s="49" t="s">
        <v>1239</v>
      </c>
      <c r="AA470" s="50" t="s">
        <v>1240</v>
      </c>
      <c r="AB470" s="51">
        <v>0.3</v>
      </c>
    </row>
    <row r="471" spans="1:28" ht="13.5" customHeight="1">
      <c r="A471" s="27"/>
      <c r="B471" s="44"/>
      <c r="C471" s="36"/>
      <c r="D471" s="6"/>
      <c r="E471" s="46" t="s">
        <v>1238</v>
      </c>
      <c r="F471" s="47" t="s">
        <v>1241</v>
      </c>
      <c r="G471" s="48">
        <v>0.2</v>
      </c>
      <c r="H471" s="46" t="s">
        <v>1238</v>
      </c>
      <c r="I471" s="47" t="s">
        <v>1241</v>
      </c>
      <c r="J471" s="48">
        <v>0.2</v>
      </c>
      <c r="K471" s="46" t="s">
        <v>1242</v>
      </c>
      <c r="L471" s="47" t="s">
        <v>1241</v>
      </c>
      <c r="M471" s="48">
        <v>0.2</v>
      </c>
      <c r="N471" s="46" t="s">
        <v>1242</v>
      </c>
      <c r="O471" s="47" t="s">
        <v>1241</v>
      </c>
      <c r="P471" s="48">
        <v>0.2</v>
      </c>
      <c r="Q471" s="55" t="s">
        <v>1242</v>
      </c>
      <c r="R471" s="47" t="s">
        <v>1241</v>
      </c>
      <c r="S471" s="48">
        <v>0.2</v>
      </c>
      <c r="T471" s="55" t="s">
        <v>1242</v>
      </c>
      <c r="U471" s="47" t="s">
        <v>1241</v>
      </c>
      <c r="V471" s="48">
        <v>0.2</v>
      </c>
      <c r="W471" s="55" t="s">
        <v>1243</v>
      </c>
      <c r="X471" s="47" t="s">
        <v>2677</v>
      </c>
      <c r="Y471" s="48">
        <v>0.4</v>
      </c>
      <c r="Z471" s="49" t="s">
        <v>1243</v>
      </c>
      <c r="AA471" s="50" t="s">
        <v>1244</v>
      </c>
      <c r="AB471" s="51">
        <v>0.6</v>
      </c>
    </row>
    <row r="472" spans="1:28" ht="13.5" customHeight="1">
      <c r="A472" s="27"/>
      <c r="B472" s="44"/>
      <c r="C472" s="36"/>
      <c r="D472" s="6"/>
      <c r="E472" s="46"/>
      <c r="F472" s="47"/>
      <c r="G472" s="48"/>
      <c r="H472" s="46"/>
      <c r="I472" s="47"/>
      <c r="J472" s="48"/>
      <c r="K472" s="46"/>
      <c r="L472" s="47"/>
      <c r="M472" s="48"/>
      <c r="N472" s="46"/>
      <c r="O472" s="47"/>
      <c r="P472" s="48"/>
      <c r="Q472" s="55"/>
      <c r="R472" s="47"/>
      <c r="S472" s="48"/>
      <c r="T472" s="55"/>
      <c r="U472" s="47"/>
      <c r="V472" s="48"/>
      <c r="W472" s="55" t="s">
        <v>1245</v>
      </c>
      <c r="X472" s="47" t="s">
        <v>2678</v>
      </c>
      <c r="Y472" s="48">
        <v>0.1</v>
      </c>
      <c r="Z472" s="49" t="s">
        <v>1245</v>
      </c>
      <c r="AA472" s="50" t="s">
        <v>1246</v>
      </c>
      <c r="AB472" s="51">
        <v>0.6</v>
      </c>
    </row>
    <row r="473" spans="1:28" ht="13.5" customHeight="1">
      <c r="A473" s="27"/>
      <c r="B473" s="44"/>
      <c r="C473" s="36"/>
      <c r="D473" s="6"/>
      <c r="E473" s="46" t="s">
        <v>1242</v>
      </c>
      <c r="F473" s="47" t="s">
        <v>1247</v>
      </c>
      <c r="G473" s="48">
        <v>0.2</v>
      </c>
      <c r="H473" s="46" t="s">
        <v>1242</v>
      </c>
      <c r="I473" s="47" t="s">
        <v>1247</v>
      </c>
      <c r="J473" s="48">
        <v>0.4</v>
      </c>
      <c r="K473" s="46" t="s">
        <v>1248</v>
      </c>
      <c r="L473" s="47" t="s">
        <v>1247</v>
      </c>
      <c r="M473" s="48">
        <v>0.3</v>
      </c>
      <c r="N473" s="46" t="s">
        <v>1248</v>
      </c>
      <c r="O473" s="47" t="s">
        <v>1247</v>
      </c>
      <c r="P473" s="48">
        <v>0.2</v>
      </c>
      <c r="Q473" s="55" t="s">
        <v>1248</v>
      </c>
      <c r="R473" s="47" t="s">
        <v>1247</v>
      </c>
      <c r="S473" s="48">
        <v>0.2</v>
      </c>
      <c r="T473" s="55" t="s">
        <v>1248</v>
      </c>
      <c r="U473" s="47" t="s">
        <v>1247</v>
      </c>
      <c r="V473" s="48">
        <v>0.2</v>
      </c>
      <c r="W473" s="55" t="s">
        <v>587</v>
      </c>
      <c r="X473" s="47" t="s">
        <v>2679</v>
      </c>
      <c r="Y473" s="48">
        <v>0.3</v>
      </c>
      <c r="Z473" s="49"/>
      <c r="AA473" s="50"/>
      <c r="AB473" s="51"/>
    </row>
    <row r="474" spans="1:28" ht="13.5" customHeight="1">
      <c r="A474" s="27"/>
      <c r="B474" s="44"/>
      <c r="C474" s="36"/>
      <c r="D474" s="6"/>
      <c r="E474" s="46" t="s">
        <v>1248</v>
      </c>
      <c r="F474" s="47" t="s">
        <v>1249</v>
      </c>
      <c r="G474" s="48">
        <v>0.6</v>
      </c>
      <c r="H474" s="46" t="s">
        <v>1248</v>
      </c>
      <c r="I474" s="47" t="s">
        <v>1249</v>
      </c>
      <c r="J474" s="48">
        <v>0.5</v>
      </c>
      <c r="K474" s="46" t="s">
        <v>1250</v>
      </c>
      <c r="L474" s="47" t="s">
        <v>1249</v>
      </c>
      <c r="M474" s="48">
        <v>0.4</v>
      </c>
      <c r="N474" s="46" t="s">
        <v>1250</v>
      </c>
      <c r="O474" s="47" t="s">
        <v>1249</v>
      </c>
      <c r="P474" s="48">
        <v>0.3</v>
      </c>
      <c r="Q474" s="55" t="s">
        <v>1250</v>
      </c>
      <c r="R474" s="47" t="s">
        <v>1249</v>
      </c>
      <c r="S474" s="48">
        <v>0.4</v>
      </c>
      <c r="T474" s="55" t="s">
        <v>1250</v>
      </c>
      <c r="U474" s="47" t="s">
        <v>1249</v>
      </c>
      <c r="V474" s="48">
        <v>0.3</v>
      </c>
      <c r="W474" s="55" t="s">
        <v>1251</v>
      </c>
      <c r="X474" s="47" t="s">
        <v>2680</v>
      </c>
      <c r="Y474" s="48">
        <v>0.5</v>
      </c>
      <c r="Z474" s="49" t="s">
        <v>586</v>
      </c>
      <c r="AA474" s="50" t="s">
        <v>1252</v>
      </c>
      <c r="AB474" s="51">
        <v>0.7</v>
      </c>
    </row>
    <row r="475" spans="1:28" ht="13.5" customHeight="1">
      <c r="A475" s="27"/>
      <c r="B475" s="44"/>
      <c r="C475" s="36"/>
      <c r="D475" s="6"/>
      <c r="E475" s="46" t="s">
        <v>1250</v>
      </c>
      <c r="F475" s="47" t="s">
        <v>1253</v>
      </c>
      <c r="G475" s="48">
        <v>0.3</v>
      </c>
      <c r="H475" s="46" t="s">
        <v>1250</v>
      </c>
      <c r="I475" s="47" t="s">
        <v>1253</v>
      </c>
      <c r="J475" s="48">
        <v>0.2</v>
      </c>
      <c r="K475" s="46" t="s">
        <v>1254</v>
      </c>
      <c r="L475" s="47" t="s">
        <v>1253</v>
      </c>
      <c r="M475" s="48">
        <v>0.2</v>
      </c>
      <c r="N475" s="46" t="s">
        <v>1254</v>
      </c>
      <c r="O475" s="47" t="s">
        <v>1253</v>
      </c>
      <c r="P475" s="48">
        <v>0.2</v>
      </c>
      <c r="Q475" s="55" t="s">
        <v>1254</v>
      </c>
      <c r="R475" s="47" t="s">
        <v>1253</v>
      </c>
      <c r="S475" s="48">
        <v>0.1</v>
      </c>
      <c r="T475" s="55" t="s">
        <v>1254</v>
      </c>
      <c r="U475" s="47" t="s">
        <v>1253</v>
      </c>
      <c r="V475" s="48">
        <v>0.1</v>
      </c>
      <c r="W475" s="55" t="s">
        <v>1208</v>
      </c>
      <c r="X475" s="47" t="s">
        <v>2681</v>
      </c>
      <c r="Y475" s="48">
        <v>0.2</v>
      </c>
      <c r="Z475" s="49" t="s">
        <v>1251</v>
      </c>
      <c r="AA475" s="50" t="s">
        <v>1255</v>
      </c>
      <c r="AB475" s="51">
        <v>0.5</v>
      </c>
    </row>
    <row r="476" spans="1:28" ht="13.5" customHeight="1">
      <c r="A476" s="27"/>
      <c r="B476" s="44"/>
      <c r="C476" s="36"/>
      <c r="D476" s="6"/>
      <c r="E476" s="46"/>
      <c r="F476" s="47"/>
      <c r="G476" s="48"/>
      <c r="H476" s="46"/>
      <c r="I476" s="47"/>
      <c r="J476" s="48"/>
      <c r="K476" s="46"/>
      <c r="L476" s="47"/>
      <c r="M476" s="48"/>
      <c r="N476" s="46"/>
      <c r="O476" s="47"/>
      <c r="P476" s="48"/>
      <c r="Q476" s="55"/>
      <c r="R476" s="47"/>
      <c r="S476" s="48"/>
      <c r="T476" s="55"/>
      <c r="U476" s="47"/>
      <c r="V476" s="48"/>
      <c r="W476" s="55"/>
      <c r="X476" s="47"/>
      <c r="Y476" s="48"/>
      <c r="Z476" s="49"/>
      <c r="AA476" s="50"/>
      <c r="AB476" s="51"/>
    </row>
    <row r="477" spans="1:28" ht="13.5" customHeight="1">
      <c r="A477" s="27"/>
      <c r="B477" s="44"/>
      <c r="C477" s="36"/>
      <c r="D477" s="6"/>
      <c r="E477" s="46" t="s">
        <v>1257</v>
      </c>
      <c r="F477" s="47" t="s">
        <v>1256</v>
      </c>
      <c r="G477" s="48">
        <v>2.7</v>
      </c>
      <c r="H477" s="46" t="s">
        <v>1257</v>
      </c>
      <c r="I477" s="47" t="s">
        <v>1256</v>
      </c>
      <c r="J477" s="48">
        <v>2.6</v>
      </c>
      <c r="K477" s="46" t="s">
        <v>1259</v>
      </c>
      <c r="L477" s="47" t="s">
        <v>1256</v>
      </c>
      <c r="M477" s="48">
        <v>3.1</v>
      </c>
      <c r="N477" s="46" t="s">
        <v>1259</v>
      </c>
      <c r="O477" s="47" t="s">
        <v>1256</v>
      </c>
      <c r="P477" s="48">
        <v>3.5</v>
      </c>
      <c r="Q477" s="55" t="s">
        <v>1257</v>
      </c>
      <c r="R477" s="47" t="s">
        <v>1256</v>
      </c>
      <c r="S477" s="48">
        <v>4</v>
      </c>
      <c r="T477" s="55" t="s">
        <v>1257</v>
      </c>
      <c r="U477" s="47" t="s">
        <v>1256</v>
      </c>
      <c r="V477" s="48">
        <v>4.7</v>
      </c>
      <c r="W477" s="55" t="s">
        <v>1211</v>
      </c>
      <c r="X477" s="47" t="s">
        <v>2682</v>
      </c>
      <c r="Y477" s="48">
        <v>2.9</v>
      </c>
      <c r="Z477" s="49" t="s">
        <v>1258</v>
      </c>
      <c r="AA477" s="50" t="s">
        <v>1256</v>
      </c>
      <c r="AB477" s="51">
        <v>2.5</v>
      </c>
    </row>
    <row r="478" spans="1:28" ht="13.5" customHeight="1">
      <c r="A478" s="27"/>
      <c r="B478" s="44"/>
      <c r="C478" s="36"/>
      <c r="D478" s="6"/>
      <c r="E478" s="46"/>
      <c r="F478" s="47"/>
      <c r="G478" s="48"/>
      <c r="H478" s="46"/>
      <c r="I478" s="47"/>
      <c r="J478" s="48"/>
      <c r="K478" s="46"/>
      <c r="L478" s="47"/>
      <c r="M478" s="48"/>
      <c r="N478" s="46"/>
      <c r="O478" s="47"/>
      <c r="P478" s="48"/>
      <c r="Q478" s="55" t="s">
        <v>1259</v>
      </c>
      <c r="R478" s="47" t="s">
        <v>1260</v>
      </c>
      <c r="S478" s="48">
        <v>0.4</v>
      </c>
      <c r="T478" s="55" t="s">
        <v>1259</v>
      </c>
      <c r="U478" s="47" t="s">
        <v>1260</v>
      </c>
      <c r="V478" s="48">
        <v>0.5</v>
      </c>
      <c r="W478" s="55" t="s">
        <v>1213</v>
      </c>
      <c r="X478" s="47" t="s">
        <v>2683</v>
      </c>
      <c r="Y478" s="48">
        <v>0.5</v>
      </c>
      <c r="Z478" s="49" t="s">
        <v>1261</v>
      </c>
      <c r="AA478" s="50" t="s">
        <v>1260</v>
      </c>
      <c r="AB478" s="51">
        <v>0.9</v>
      </c>
    </row>
    <row r="479" spans="1:28" ht="13.5" customHeight="1">
      <c r="A479" s="27"/>
      <c r="B479" s="44"/>
      <c r="C479" s="36"/>
      <c r="D479" s="6"/>
      <c r="E479" s="46" t="s">
        <v>1259</v>
      </c>
      <c r="F479" s="47" t="s">
        <v>1262</v>
      </c>
      <c r="G479" s="48">
        <v>0.3</v>
      </c>
      <c r="H479" s="46" t="s">
        <v>1259</v>
      </c>
      <c r="I479" s="47" t="s">
        <v>1262</v>
      </c>
      <c r="J479" s="48">
        <v>0.3</v>
      </c>
      <c r="K479" s="46" t="s">
        <v>1263</v>
      </c>
      <c r="L479" s="47" t="s">
        <v>1262</v>
      </c>
      <c r="M479" s="48">
        <v>0.3</v>
      </c>
      <c r="N479" s="46" t="s">
        <v>1263</v>
      </c>
      <c r="O479" s="47" t="s">
        <v>1262</v>
      </c>
      <c r="P479" s="48">
        <v>0.3</v>
      </c>
      <c r="Q479" s="55" t="s">
        <v>1263</v>
      </c>
      <c r="R479" s="47" t="s">
        <v>1262</v>
      </c>
      <c r="S479" s="48">
        <v>0.2</v>
      </c>
      <c r="T479" s="55" t="s">
        <v>1263</v>
      </c>
      <c r="U479" s="47" t="s">
        <v>1262</v>
      </c>
      <c r="V479" s="48">
        <v>0.3</v>
      </c>
      <c r="W479" s="55" t="s">
        <v>1215</v>
      </c>
      <c r="X479" s="47" t="s">
        <v>2684</v>
      </c>
      <c r="Y479" s="48">
        <v>1.3</v>
      </c>
      <c r="Z479" s="49" t="s">
        <v>1264</v>
      </c>
      <c r="AA479" s="50" t="s">
        <v>1262</v>
      </c>
      <c r="AB479" s="51">
        <v>1.7</v>
      </c>
    </row>
    <row r="480" spans="1:28" ht="13.5" customHeight="1">
      <c r="A480" s="27"/>
      <c r="B480" s="44"/>
      <c r="C480" s="36"/>
      <c r="D480" s="6"/>
      <c r="E480" s="46" t="s">
        <v>1263</v>
      </c>
      <c r="F480" s="47" t="s">
        <v>1265</v>
      </c>
      <c r="G480" s="48">
        <v>1.1000000000000001</v>
      </c>
      <c r="H480" s="46" t="s">
        <v>1263</v>
      </c>
      <c r="I480" s="47" t="s">
        <v>1265</v>
      </c>
      <c r="J480" s="48">
        <v>1.6</v>
      </c>
      <c r="K480" s="46" t="s">
        <v>1266</v>
      </c>
      <c r="L480" s="47" t="s">
        <v>1265</v>
      </c>
      <c r="M480" s="48">
        <v>1.6</v>
      </c>
      <c r="N480" s="46" t="s">
        <v>1266</v>
      </c>
      <c r="O480" s="47" t="s">
        <v>1265</v>
      </c>
      <c r="P480" s="48">
        <v>1.2</v>
      </c>
      <c r="Q480" s="55" t="s">
        <v>1266</v>
      </c>
      <c r="R480" s="47" t="s">
        <v>1265</v>
      </c>
      <c r="S480" s="48">
        <v>2</v>
      </c>
      <c r="T480" s="55" t="s">
        <v>1266</v>
      </c>
      <c r="U480" s="47" t="s">
        <v>1265</v>
      </c>
      <c r="V480" s="48">
        <v>2.5</v>
      </c>
      <c r="W480" s="55" t="s">
        <v>1217</v>
      </c>
      <c r="X480" s="47" t="s">
        <v>2685</v>
      </c>
      <c r="Y480" s="48">
        <v>3.6</v>
      </c>
      <c r="Z480" s="49" t="s">
        <v>1267</v>
      </c>
      <c r="AA480" s="50" t="s">
        <v>1268</v>
      </c>
      <c r="AB480" s="51">
        <v>1.6</v>
      </c>
    </row>
    <row r="481" spans="1:28" ht="13.5" customHeight="1">
      <c r="A481" s="27"/>
      <c r="B481" s="44"/>
      <c r="C481" s="36"/>
      <c r="D481" s="6"/>
      <c r="E481" s="46" t="s">
        <v>1271</v>
      </c>
      <c r="F481" s="47" t="s">
        <v>1269</v>
      </c>
      <c r="G481" s="48">
        <v>6.5</v>
      </c>
      <c r="H481" s="46" t="s">
        <v>1271</v>
      </c>
      <c r="I481" s="47" t="s">
        <v>1269</v>
      </c>
      <c r="J481" s="48">
        <v>5.9</v>
      </c>
      <c r="K481" s="46" t="s">
        <v>1270</v>
      </c>
      <c r="L481" s="47" t="s">
        <v>1269</v>
      </c>
      <c r="M481" s="48">
        <v>3.6</v>
      </c>
      <c r="N481" s="46" t="s">
        <v>1270</v>
      </c>
      <c r="O481" s="47" t="s">
        <v>1269</v>
      </c>
      <c r="P481" s="48">
        <v>3.6</v>
      </c>
      <c r="Q481" s="55" t="s">
        <v>1270</v>
      </c>
      <c r="R481" s="47" t="s">
        <v>1269</v>
      </c>
      <c r="S481" s="48">
        <v>3.7</v>
      </c>
      <c r="T481" s="55" t="s">
        <v>1270</v>
      </c>
      <c r="U481" s="47" t="s">
        <v>1269</v>
      </c>
      <c r="V481" s="48">
        <v>3.6</v>
      </c>
      <c r="W481" s="55"/>
      <c r="X481" s="47"/>
      <c r="Y481" s="48"/>
      <c r="Z481" s="49"/>
      <c r="AA481" s="50"/>
      <c r="AB481" s="51"/>
    </row>
    <row r="482" spans="1:28" ht="13.5" customHeight="1">
      <c r="A482" s="27"/>
      <c r="B482" s="44"/>
      <c r="C482" s="36"/>
      <c r="D482" s="6"/>
      <c r="E482" s="46" t="s">
        <v>1266</v>
      </c>
      <c r="F482" s="113" t="s">
        <v>3016</v>
      </c>
      <c r="G482" s="48">
        <v>1.2</v>
      </c>
      <c r="H482" s="46" t="s">
        <v>1266</v>
      </c>
      <c r="I482" s="113" t="s">
        <v>3016</v>
      </c>
      <c r="J482" s="48">
        <v>1.1000000000000001</v>
      </c>
      <c r="K482" s="46" t="s">
        <v>1271</v>
      </c>
      <c r="L482" s="113" t="s">
        <v>2686</v>
      </c>
      <c r="M482" s="48">
        <v>0.8</v>
      </c>
      <c r="N482" s="46" t="s">
        <v>1271</v>
      </c>
      <c r="O482" s="113" t="s">
        <v>2686</v>
      </c>
      <c r="P482" s="48">
        <v>0.6</v>
      </c>
      <c r="Q482" s="55" t="s">
        <v>1271</v>
      </c>
      <c r="R482" s="113" t="s">
        <v>1272</v>
      </c>
      <c r="S482" s="48">
        <v>0.5</v>
      </c>
      <c r="T482" s="55" t="s">
        <v>1271</v>
      </c>
      <c r="U482" s="113" t="s">
        <v>1272</v>
      </c>
      <c r="V482" s="48">
        <v>0.6</v>
      </c>
      <c r="W482" s="55" t="s">
        <v>1273</v>
      </c>
      <c r="X482" s="113" t="s">
        <v>2687</v>
      </c>
      <c r="Y482" s="48">
        <v>0.3</v>
      </c>
      <c r="Z482" s="49" t="s">
        <v>1273</v>
      </c>
      <c r="AA482" s="50" t="s">
        <v>1274</v>
      </c>
      <c r="AB482" s="51">
        <v>0.4</v>
      </c>
    </row>
    <row r="483" spans="1:28" ht="13.5" customHeight="1">
      <c r="A483" s="27"/>
      <c r="B483" s="44"/>
      <c r="C483" s="36"/>
      <c r="D483" s="6"/>
      <c r="E483" s="46"/>
      <c r="F483" s="113"/>
      <c r="G483" s="48"/>
      <c r="H483" s="46"/>
      <c r="I483" s="113"/>
      <c r="J483" s="48"/>
      <c r="K483" s="46"/>
      <c r="L483" s="113"/>
      <c r="M483" s="48"/>
      <c r="N483" s="46"/>
      <c r="O483" s="113"/>
      <c r="P483" s="48"/>
      <c r="Q483" s="55"/>
      <c r="R483" s="113"/>
      <c r="S483" s="48"/>
      <c r="T483" s="55"/>
      <c r="U483" s="113"/>
      <c r="V483" s="48"/>
      <c r="W483" s="55"/>
      <c r="X483" s="113"/>
      <c r="Y483" s="48"/>
      <c r="Z483" s="49"/>
      <c r="AA483" s="50"/>
      <c r="AB483" s="51"/>
    </row>
    <row r="484" spans="1:28" ht="13.5" customHeight="1">
      <c r="A484" s="27"/>
      <c r="B484" s="44"/>
      <c r="C484" s="36"/>
      <c r="D484" s="6"/>
      <c r="E484" s="46"/>
      <c r="F484" s="113"/>
      <c r="G484" s="48"/>
      <c r="H484" s="46"/>
      <c r="I484" s="113"/>
      <c r="J484" s="48"/>
      <c r="K484" s="46"/>
      <c r="L484" s="113"/>
      <c r="M484" s="48"/>
      <c r="N484" s="46"/>
      <c r="O484" s="113"/>
      <c r="P484" s="48"/>
      <c r="Q484" s="55"/>
      <c r="R484" s="113"/>
      <c r="S484" s="48"/>
      <c r="T484" s="55"/>
      <c r="U484" s="113"/>
      <c r="V484" s="48"/>
      <c r="W484" s="55"/>
      <c r="X484" s="113"/>
      <c r="Y484" s="48"/>
      <c r="Z484" s="49"/>
      <c r="AA484" s="50"/>
      <c r="AB484" s="51"/>
    </row>
    <row r="485" spans="1:28" ht="13.5" customHeight="1">
      <c r="A485" s="27"/>
      <c r="B485" s="44"/>
      <c r="C485" s="36"/>
      <c r="D485" s="6"/>
      <c r="E485" s="46"/>
      <c r="F485" s="113"/>
      <c r="G485" s="48"/>
      <c r="H485" s="46"/>
      <c r="I485" s="113"/>
      <c r="J485" s="48"/>
      <c r="K485" s="46"/>
      <c r="L485" s="113"/>
      <c r="M485" s="48"/>
      <c r="N485" s="46"/>
      <c r="O485" s="113"/>
      <c r="P485" s="48"/>
      <c r="Q485" s="55"/>
      <c r="R485" s="113"/>
      <c r="S485" s="48"/>
      <c r="T485" s="55"/>
      <c r="U485" s="113"/>
      <c r="V485" s="48"/>
      <c r="W485" s="55"/>
      <c r="X485" s="113"/>
      <c r="Y485" s="48"/>
      <c r="Z485" s="49"/>
      <c r="AA485" s="50"/>
      <c r="AB485" s="51"/>
    </row>
    <row r="486" spans="1:28" ht="13.5" customHeight="1">
      <c r="A486" s="27"/>
      <c r="B486" s="44"/>
      <c r="C486" s="36"/>
      <c r="D486" s="6"/>
      <c r="E486" s="46" t="s">
        <v>1254</v>
      </c>
      <c r="F486" s="113" t="s">
        <v>3017</v>
      </c>
      <c r="G486" s="48">
        <v>0.3</v>
      </c>
      <c r="H486" s="46" t="s">
        <v>1254</v>
      </c>
      <c r="I486" s="113" t="s">
        <v>3017</v>
      </c>
      <c r="J486" s="48">
        <v>0.3</v>
      </c>
      <c r="K486" s="46" t="s">
        <v>1206</v>
      </c>
      <c r="L486" s="113" t="s">
        <v>2688</v>
      </c>
      <c r="M486" s="48">
        <v>0.3</v>
      </c>
      <c r="N486" s="46" t="s">
        <v>1206</v>
      </c>
      <c r="O486" s="113" t="s">
        <v>2688</v>
      </c>
      <c r="P486" s="48">
        <v>0.2</v>
      </c>
      <c r="Q486" s="55"/>
      <c r="R486" s="113"/>
      <c r="S486" s="48"/>
      <c r="T486" s="55"/>
      <c r="U486" s="113"/>
      <c r="V486" s="48"/>
      <c r="W486" s="55"/>
      <c r="X486" s="113"/>
      <c r="Y486" s="48"/>
      <c r="Z486" s="49"/>
      <c r="AA486" s="50"/>
      <c r="AB486" s="51"/>
    </row>
    <row r="487" spans="1:28" ht="13.5" customHeight="1">
      <c r="A487" s="27"/>
      <c r="B487" s="44"/>
      <c r="C487" s="36"/>
      <c r="D487" s="6"/>
      <c r="E487" s="46" t="s">
        <v>2968</v>
      </c>
      <c r="F487" s="250" t="s">
        <v>3015</v>
      </c>
      <c r="G487" s="48">
        <v>3.5</v>
      </c>
      <c r="H487" s="46" t="s">
        <v>2968</v>
      </c>
      <c r="I487" s="250" t="s">
        <v>3015</v>
      </c>
      <c r="J487" s="48">
        <v>3.7</v>
      </c>
      <c r="K487" s="46" t="s">
        <v>2968</v>
      </c>
      <c r="L487" s="250" t="s">
        <v>3015</v>
      </c>
      <c r="M487" s="48">
        <v>3</v>
      </c>
      <c r="N487" s="46" t="s">
        <v>2968</v>
      </c>
      <c r="O487" s="250" t="s">
        <v>3015</v>
      </c>
      <c r="P487" s="48">
        <v>3.2</v>
      </c>
      <c r="Q487" s="241"/>
      <c r="R487" s="250"/>
      <c r="S487" s="58"/>
      <c r="T487" s="241"/>
      <c r="U487" s="250"/>
      <c r="V487" s="58"/>
      <c r="W487" s="241"/>
      <c r="X487" s="250"/>
      <c r="Y487" s="58"/>
      <c r="Z487" s="59"/>
      <c r="AA487" s="60"/>
      <c r="AB487" s="61"/>
    </row>
    <row r="488" spans="1:28" ht="13.5" customHeight="1">
      <c r="A488" s="27"/>
      <c r="B488" s="44"/>
      <c r="C488" s="36"/>
      <c r="D488" s="6"/>
      <c r="E488" s="46" t="s">
        <v>1270</v>
      </c>
      <c r="F488" s="115" t="s">
        <v>3018</v>
      </c>
      <c r="G488" s="48">
        <v>1.2</v>
      </c>
      <c r="H488" s="46" t="s">
        <v>1270</v>
      </c>
      <c r="I488" s="115" t="s">
        <v>3018</v>
      </c>
      <c r="J488" s="48">
        <v>1.3</v>
      </c>
      <c r="K488" s="46"/>
      <c r="L488" s="115"/>
      <c r="M488" s="48"/>
      <c r="N488" s="46"/>
      <c r="O488" s="115"/>
      <c r="P488" s="48"/>
      <c r="Q488" s="116"/>
      <c r="R488" s="115"/>
      <c r="S488" s="77"/>
      <c r="T488" s="116"/>
      <c r="U488" s="115"/>
      <c r="V488" s="77"/>
      <c r="W488" s="116"/>
      <c r="X488" s="115"/>
      <c r="Y488" s="77"/>
      <c r="Z488" s="78"/>
      <c r="AA488" s="79"/>
      <c r="AB488" s="80"/>
    </row>
    <row r="489" spans="1:28" ht="13.5" customHeight="1">
      <c r="A489" s="27"/>
      <c r="B489" s="44"/>
      <c r="C489" s="28" t="s">
        <v>1275</v>
      </c>
      <c r="D489" s="30" t="s">
        <v>1276</v>
      </c>
      <c r="E489" s="37" t="s">
        <v>1277</v>
      </c>
      <c r="F489" s="169"/>
      <c r="G489" s="39">
        <f>SUM(G490:G503)</f>
        <v>10.299999999999999</v>
      </c>
      <c r="H489" s="37" t="s">
        <v>1277</v>
      </c>
      <c r="I489" s="169"/>
      <c r="J489" s="39">
        <f>SUM(J490:J503)</f>
        <v>11.2</v>
      </c>
      <c r="K489" s="37" t="s">
        <v>1277</v>
      </c>
      <c r="L489" s="169"/>
      <c r="M489" s="39">
        <f>SUM(M490:M503)</f>
        <v>7.3999999999999995</v>
      </c>
      <c r="N489" s="37" t="s">
        <v>1277</v>
      </c>
      <c r="O489" s="169"/>
      <c r="P489" s="39">
        <f>SUM(P490:P503)</f>
        <v>8.1</v>
      </c>
      <c r="Q489" s="37" t="s">
        <v>1277</v>
      </c>
      <c r="R489" s="169"/>
      <c r="S489" s="39">
        <f>SUM(S490:S498)</f>
        <v>6.7</v>
      </c>
      <c r="T489" s="37" t="s">
        <v>1277</v>
      </c>
      <c r="U489" s="169"/>
      <c r="V489" s="39">
        <f>SUM(V490:V503)</f>
        <v>7.1999999999999993</v>
      </c>
      <c r="W489" s="168"/>
      <c r="X489" s="169"/>
      <c r="Y489" s="39">
        <f>SUM(Y490:Y498)</f>
        <v>5.3999999999999995</v>
      </c>
      <c r="Z489" s="42"/>
      <c r="AA489" s="43"/>
      <c r="AB489" s="39">
        <f>SUM(AB490:AB498)</f>
        <v>5.2</v>
      </c>
    </row>
    <row r="490" spans="1:28" ht="13.5" customHeight="1">
      <c r="A490" s="27"/>
      <c r="B490" s="44"/>
      <c r="C490" s="44"/>
      <c r="D490" s="45"/>
      <c r="E490" s="46" t="s">
        <v>1279</v>
      </c>
      <c r="F490" s="47" t="s">
        <v>1278</v>
      </c>
      <c r="G490" s="48">
        <v>1.4</v>
      </c>
      <c r="H490" s="46" t="s">
        <v>1279</v>
      </c>
      <c r="I490" s="47" t="s">
        <v>1278</v>
      </c>
      <c r="J490" s="48">
        <v>1.3</v>
      </c>
      <c r="K490" s="46" t="s">
        <v>1279</v>
      </c>
      <c r="L490" s="47" t="s">
        <v>1278</v>
      </c>
      <c r="M490" s="48">
        <v>1.7</v>
      </c>
      <c r="N490" s="46" t="s">
        <v>1279</v>
      </c>
      <c r="O490" s="47" t="s">
        <v>1278</v>
      </c>
      <c r="P490" s="48">
        <v>1.7</v>
      </c>
      <c r="Q490" s="46" t="s">
        <v>1279</v>
      </c>
      <c r="R490" s="47" t="s">
        <v>1278</v>
      </c>
      <c r="S490" s="48">
        <v>2.1</v>
      </c>
      <c r="T490" s="46" t="s">
        <v>1279</v>
      </c>
      <c r="U490" s="47" t="s">
        <v>1278</v>
      </c>
      <c r="V490" s="48">
        <v>2.1</v>
      </c>
      <c r="W490" s="46" t="s">
        <v>1280</v>
      </c>
      <c r="X490" s="47" t="s">
        <v>2689</v>
      </c>
      <c r="Y490" s="48">
        <v>1.6</v>
      </c>
      <c r="Z490" s="49" t="s">
        <v>1281</v>
      </c>
      <c r="AA490" s="50" t="s">
        <v>1278</v>
      </c>
      <c r="AB490" s="51">
        <v>1.6</v>
      </c>
    </row>
    <row r="491" spans="1:28" ht="13.5" customHeight="1">
      <c r="A491" s="27"/>
      <c r="B491" s="44"/>
      <c r="C491" s="36"/>
      <c r="D491" s="6"/>
      <c r="E491" s="46" t="s">
        <v>1282</v>
      </c>
      <c r="F491" s="47" t="s">
        <v>3009</v>
      </c>
      <c r="G491" s="48">
        <v>1</v>
      </c>
      <c r="H491" s="46" t="s">
        <v>1282</v>
      </c>
      <c r="I491" s="47" t="s">
        <v>3009</v>
      </c>
      <c r="J491" s="48">
        <v>0.8</v>
      </c>
      <c r="K491" s="46" t="s">
        <v>1282</v>
      </c>
      <c r="L491" s="47" t="s">
        <v>2690</v>
      </c>
      <c r="M491" s="48">
        <v>0.8</v>
      </c>
      <c r="N491" s="46" t="s">
        <v>1282</v>
      </c>
      <c r="O491" s="47" t="s">
        <v>2690</v>
      </c>
      <c r="P491" s="48">
        <v>1.1000000000000001</v>
      </c>
      <c r="Q491" s="46" t="s">
        <v>1282</v>
      </c>
      <c r="R491" s="47" t="s">
        <v>1283</v>
      </c>
      <c r="S491" s="48">
        <v>1.4</v>
      </c>
      <c r="T491" s="46" t="s">
        <v>1282</v>
      </c>
      <c r="U491" s="47" t="s">
        <v>1283</v>
      </c>
      <c r="V491" s="48">
        <v>1.5</v>
      </c>
      <c r="W491" s="46" t="s">
        <v>1284</v>
      </c>
      <c r="X491" s="47" t="s">
        <v>2691</v>
      </c>
      <c r="Y491" s="48">
        <v>1.1000000000000001</v>
      </c>
      <c r="Z491" s="49" t="s">
        <v>1285</v>
      </c>
      <c r="AA491" s="50" t="s">
        <v>1283</v>
      </c>
      <c r="AB491" s="51">
        <v>1.1000000000000001</v>
      </c>
    </row>
    <row r="492" spans="1:28" ht="13.5" customHeight="1">
      <c r="A492" s="27"/>
      <c r="B492" s="44"/>
      <c r="C492" s="36"/>
      <c r="D492" s="6"/>
      <c r="E492" s="46"/>
      <c r="F492" s="47"/>
      <c r="G492" s="48"/>
      <c r="H492" s="46"/>
      <c r="I492" s="47"/>
      <c r="J492" s="48"/>
      <c r="K492" s="46"/>
      <c r="L492" s="47"/>
      <c r="M492" s="48"/>
      <c r="N492" s="46"/>
      <c r="O492" s="47"/>
      <c r="P492" s="48"/>
      <c r="Q492" s="46"/>
      <c r="R492" s="47"/>
      <c r="S492" s="48"/>
      <c r="T492" s="46"/>
      <c r="U492" s="47"/>
      <c r="V492" s="48"/>
      <c r="W492" s="46"/>
      <c r="X492" s="47"/>
      <c r="Y492" s="48"/>
      <c r="Z492" s="49"/>
      <c r="AA492" s="50"/>
      <c r="AB492" s="51"/>
    </row>
    <row r="493" spans="1:28" ht="13.5" customHeight="1">
      <c r="A493" s="27"/>
      <c r="B493" s="44"/>
      <c r="C493" s="44"/>
      <c r="D493" s="170"/>
      <c r="E493" s="46" t="s">
        <v>1306</v>
      </c>
      <c r="F493" s="113" t="s">
        <v>1287</v>
      </c>
      <c r="G493" s="48">
        <v>1</v>
      </c>
      <c r="H493" s="46" t="s">
        <v>1306</v>
      </c>
      <c r="I493" s="113" t="s">
        <v>1287</v>
      </c>
      <c r="J493" s="48">
        <v>1.4</v>
      </c>
      <c r="K493" s="46" t="s">
        <v>1288</v>
      </c>
      <c r="L493" s="113" t="s">
        <v>1287</v>
      </c>
      <c r="M493" s="48">
        <v>1.4</v>
      </c>
      <c r="N493" s="46" t="s">
        <v>1288</v>
      </c>
      <c r="O493" s="113" t="s">
        <v>1287</v>
      </c>
      <c r="P493" s="48">
        <v>1.5</v>
      </c>
      <c r="Q493" s="55" t="s">
        <v>1288</v>
      </c>
      <c r="R493" s="113" t="s">
        <v>1287</v>
      </c>
      <c r="S493" s="48">
        <v>1.3</v>
      </c>
      <c r="T493" s="55" t="s">
        <v>1288</v>
      </c>
      <c r="U493" s="113" t="s">
        <v>1287</v>
      </c>
      <c r="V493" s="48">
        <v>1.4</v>
      </c>
      <c r="W493" s="55" t="s">
        <v>1289</v>
      </c>
      <c r="X493" s="113" t="s">
        <v>2692</v>
      </c>
      <c r="Y493" s="48">
        <v>0.9</v>
      </c>
      <c r="Z493" s="49" t="s">
        <v>1290</v>
      </c>
      <c r="AA493" s="50" t="s">
        <v>1291</v>
      </c>
      <c r="AB493" s="51">
        <v>1.2</v>
      </c>
    </row>
    <row r="494" spans="1:28" ht="13.5" customHeight="1">
      <c r="A494" s="27"/>
      <c r="B494" s="44"/>
      <c r="C494" s="44"/>
      <c r="D494" s="170"/>
      <c r="E494" s="46"/>
      <c r="F494" s="47"/>
      <c r="G494" s="48"/>
      <c r="H494" s="46"/>
      <c r="I494" s="47"/>
      <c r="J494" s="48"/>
      <c r="K494" s="46"/>
      <c r="L494" s="47"/>
      <c r="M494" s="48"/>
      <c r="N494" s="46"/>
      <c r="O494" s="47"/>
      <c r="P494" s="48"/>
      <c r="Q494" s="55"/>
      <c r="R494" s="47"/>
      <c r="S494" s="48"/>
      <c r="T494" s="55"/>
      <c r="U494" s="47"/>
      <c r="V494" s="48"/>
      <c r="W494" s="55" t="s">
        <v>1292</v>
      </c>
      <c r="X494" s="47" t="s">
        <v>2693</v>
      </c>
      <c r="Y494" s="48">
        <v>0.9</v>
      </c>
      <c r="Z494" s="49" t="s">
        <v>1293</v>
      </c>
      <c r="AA494" s="50" t="s">
        <v>1294</v>
      </c>
      <c r="AB494" s="51">
        <v>0.9</v>
      </c>
    </row>
    <row r="495" spans="1:28" ht="13.5" customHeight="1">
      <c r="A495" s="27"/>
      <c r="B495" s="44"/>
      <c r="C495" s="44"/>
      <c r="D495" s="170"/>
      <c r="E495" s="46" t="s">
        <v>1299</v>
      </c>
      <c r="F495" s="47" t="s">
        <v>1295</v>
      </c>
      <c r="G495" s="48">
        <v>1.4</v>
      </c>
      <c r="H495" s="46" t="s">
        <v>1299</v>
      </c>
      <c r="I495" s="47" t="s">
        <v>1295</v>
      </c>
      <c r="J495" s="48">
        <v>1.4</v>
      </c>
      <c r="K495" s="46" t="s">
        <v>1296</v>
      </c>
      <c r="L495" s="47" t="s">
        <v>1295</v>
      </c>
      <c r="M495" s="48">
        <v>1.1000000000000001</v>
      </c>
      <c r="N495" s="46" t="s">
        <v>1296</v>
      </c>
      <c r="O495" s="47" t="s">
        <v>1295</v>
      </c>
      <c r="P495" s="48">
        <v>0.9</v>
      </c>
      <c r="Q495" s="55" t="s">
        <v>1296</v>
      </c>
      <c r="R495" s="47" t="s">
        <v>1295</v>
      </c>
      <c r="S495" s="48">
        <v>1.3</v>
      </c>
      <c r="T495" s="55" t="s">
        <v>1296</v>
      </c>
      <c r="U495" s="47" t="s">
        <v>1295</v>
      </c>
      <c r="V495" s="48">
        <v>1.3</v>
      </c>
      <c r="W495" s="55" t="s">
        <v>1297</v>
      </c>
      <c r="X495" s="47" t="s">
        <v>2694</v>
      </c>
      <c r="Y495" s="48">
        <v>0.3</v>
      </c>
      <c r="Z495" s="49" t="s">
        <v>1298</v>
      </c>
      <c r="AA495" s="50" t="s">
        <v>1295</v>
      </c>
      <c r="AB495" s="51">
        <v>0.3</v>
      </c>
    </row>
    <row r="496" spans="1:28" ht="13.5" customHeight="1">
      <c r="A496" s="27"/>
      <c r="B496" s="44"/>
      <c r="C496" s="44"/>
      <c r="D496" s="170"/>
      <c r="E496" s="46" t="s">
        <v>1303</v>
      </c>
      <c r="F496" s="47" t="s">
        <v>3010</v>
      </c>
      <c r="G496" s="48">
        <v>0.2</v>
      </c>
      <c r="H496" s="46" t="s">
        <v>1303</v>
      </c>
      <c r="I496" s="47" t="s">
        <v>3010</v>
      </c>
      <c r="J496" s="48">
        <v>0.2</v>
      </c>
      <c r="K496" s="46" t="s">
        <v>1306</v>
      </c>
      <c r="L496" s="47" t="s">
        <v>2695</v>
      </c>
      <c r="M496" s="48">
        <v>0.1</v>
      </c>
      <c r="N496" s="46" t="s">
        <v>1306</v>
      </c>
      <c r="O496" s="47" t="s">
        <v>2695</v>
      </c>
      <c r="P496" s="48">
        <v>0.3</v>
      </c>
      <c r="Q496" s="55" t="s">
        <v>1299</v>
      </c>
      <c r="R496" s="47" t="s">
        <v>1300</v>
      </c>
      <c r="S496" s="48">
        <v>0.2</v>
      </c>
      <c r="T496" s="55" t="s">
        <v>1299</v>
      </c>
      <c r="U496" s="47" t="s">
        <v>1300</v>
      </c>
      <c r="V496" s="48">
        <v>0.3</v>
      </c>
      <c r="W496" s="55" t="s">
        <v>1301</v>
      </c>
      <c r="X496" s="47" t="s">
        <v>2696</v>
      </c>
      <c r="Y496" s="48">
        <v>0.3</v>
      </c>
      <c r="Z496" s="49" t="s">
        <v>1302</v>
      </c>
      <c r="AA496" s="50" t="s">
        <v>1300</v>
      </c>
      <c r="AB496" s="51">
        <v>0.1</v>
      </c>
    </row>
    <row r="497" spans="1:28" ht="13.5" customHeight="1">
      <c r="A497" s="27"/>
      <c r="B497" s="44"/>
      <c r="C497" s="44"/>
      <c r="D497" s="170"/>
      <c r="E497" s="46"/>
      <c r="F497" s="47"/>
      <c r="G497" s="48"/>
      <c r="H497" s="46"/>
      <c r="I497" s="47"/>
      <c r="J497" s="48"/>
      <c r="K497" s="46"/>
      <c r="L497" s="47"/>
      <c r="M497" s="48"/>
      <c r="N497" s="46"/>
      <c r="O497" s="47"/>
      <c r="P497" s="48"/>
      <c r="Q497" s="55" t="s">
        <v>1303</v>
      </c>
      <c r="R497" s="47" t="s">
        <v>1304</v>
      </c>
      <c r="S497" s="48">
        <v>0.2</v>
      </c>
      <c r="T497" s="55" t="s">
        <v>1303</v>
      </c>
      <c r="U497" s="47" t="s">
        <v>1304</v>
      </c>
      <c r="V497" s="48">
        <v>0.3</v>
      </c>
      <c r="W497" s="55" t="s">
        <v>1305</v>
      </c>
      <c r="X497" s="47" t="s">
        <v>2697</v>
      </c>
      <c r="Y497" s="48">
        <v>0.3</v>
      </c>
      <c r="Z497" s="49"/>
      <c r="AA497" s="50"/>
      <c r="AB497" s="51"/>
    </row>
    <row r="498" spans="1:28" ht="13.5" customHeight="1">
      <c r="A498" s="27"/>
      <c r="B498" s="44"/>
      <c r="C498" s="44"/>
      <c r="D498" s="170"/>
      <c r="E498" s="46"/>
      <c r="F498" s="47"/>
      <c r="G498" s="48"/>
      <c r="H498" s="46"/>
      <c r="I498" s="47"/>
      <c r="J498" s="48"/>
      <c r="K498" s="46"/>
      <c r="L498" s="47"/>
      <c r="M498" s="48"/>
      <c r="N498" s="46"/>
      <c r="O498" s="47"/>
      <c r="P498" s="48"/>
      <c r="Q498" s="55" t="s">
        <v>1306</v>
      </c>
      <c r="R498" s="47" t="s">
        <v>1307</v>
      </c>
      <c r="S498" s="48">
        <v>0.2</v>
      </c>
      <c r="T498" s="55" t="s">
        <v>1306</v>
      </c>
      <c r="U498" s="47" t="s">
        <v>1307</v>
      </c>
      <c r="V498" s="48">
        <v>0.3</v>
      </c>
      <c r="W498" s="55"/>
      <c r="X498" s="47"/>
      <c r="Y498" s="48"/>
      <c r="Z498" s="49"/>
      <c r="AA498" s="50"/>
      <c r="AB498" s="51"/>
    </row>
    <row r="499" spans="1:28" ht="13.5" customHeight="1">
      <c r="A499" s="27"/>
      <c r="B499" s="44"/>
      <c r="C499" s="36"/>
      <c r="D499" s="6"/>
      <c r="E499" s="46" t="s">
        <v>2969</v>
      </c>
      <c r="F499" s="113" t="s">
        <v>3011</v>
      </c>
      <c r="G499" s="48">
        <v>0.6</v>
      </c>
      <c r="H499" s="46" t="s">
        <v>2969</v>
      </c>
      <c r="I499" s="113" t="s">
        <v>3011</v>
      </c>
      <c r="J499" s="48">
        <v>0.6</v>
      </c>
      <c r="K499" s="46" t="s">
        <v>1299</v>
      </c>
      <c r="L499" s="113" t="s">
        <v>2698</v>
      </c>
      <c r="M499" s="48">
        <v>0.3</v>
      </c>
      <c r="N499" s="46" t="s">
        <v>1299</v>
      </c>
      <c r="O499" s="113" t="s">
        <v>2698</v>
      </c>
      <c r="P499" s="48">
        <v>0.5</v>
      </c>
      <c r="Q499" s="55"/>
      <c r="R499" s="113"/>
      <c r="S499" s="48"/>
      <c r="T499" s="55"/>
      <c r="U499" s="113"/>
      <c r="V499" s="48"/>
      <c r="W499" s="55"/>
      <c r="X499" s="113"/>
      <c r="Y499" s="48"/>
      <c r="Z499" s="49"/>
      <c r="AA499" s="50"/>
      <c r="AB499" s="51"/>
    </row>
    <row r="500" spans="1:28" ht="13.5" customHeight="1">
      <c r="A500" s="27"/>
      <c r="B500" s="44"/>
      <c r="C500" s="36"/>
      <c r="D500" s="6"/>
      <c r="E500" s="46" t="s">
        <v>3012</v>
      </c>
      <c r="F500" s="113" t="s">
        <v>1308</v>
      </c>
      <c r="G500" s="48">
        <v>1.5</v>
      </c>
      <c r="H500" s="46" t="s">
        <v>3012</v>
      </c>
      <c r="I500" s="113" t="s">
        <v>1308</v>
      </c>
      <c r="J500" s="48">
        <v>1.5</v>
      </c>
      <c r="K500" s="46" t="s">
        <v>1303</v>
      </c>
      <c r="L500" s="113" t="s">
        <v>1308</v>
      </c>
      <c r="M500" s="48">
        <v>0.8</v>
      </c>
      <c r="N500" s="46" t="s">
        <v>1303</v>
      </c>
      <c r="O500" s="113" t="s">
        <v>1308</v>
      </c>
      <c r="P500" s="48">
        <v>0.9</v>
      </c>
      <c r="Q500" s="55"/>
      <c r="R500" s="113"/>
      <c r="S500" s="48"/>
      <c r="T500" s="55"/>
      <c r="U500" s="113"/>
      <c r="V500" s="48"/>
      <c r="W500" s="55"/>
      <c r="X500" s="113"/>
      <c r="Y500" s="48"/>
      <c r="Z500" s="49"/>
      <c r="AA500" s="50"/>
      <c r="AB500" s="51"/>
    </row>
    <row r="501" spans="1:28" ht="13.5" customHeight="1">
      <c r="A501" s="27"/>
      <c r="B501" s="44"/>
      <c r="C501" s="36"/>
      <c r="D501" s="6"/>
      <c r="E501" s="46" t="s">
        <v>3013</v>
      </c>
      <c r="F501" s="250" t="s">
        <v>1309</v>
      </c>
      <c r="G501" s="48">
        <v>1.5</v>
      </c>
      <c r="H501" s="46" t="s">
        <v>3013</v>
      </c>
      <c r="I501" s="250" t="s">
        <v>1309</v>
      </c>
      <c r="J501" s="48">
        <v>1.5</v>
      </c>
      <c r="K501" s="46" t="s">
        <v>2969</v>
      </c>
      <c r="L501" s="250" t="s">
        <v>1309</v>
      </c>
      <c r="M501" s="48">
        <v>1.2</v>
      </c>
      <c r="N501" s="46" t="s">
        <v>2969</v>
      </c>
      <c r="O501" s="250" t="s">
        <v>1309</v>
      </c>
      <c r="P501" s="48">
        <v>1.2</v>
      </c>
      <c r="Q501" s="241"/>
      <c r="R501" s="250"/>
      <c r="S501" s="58"/>
      <c r="T501" s="241"/>
      <c r="U501" s="250"/>
      <c r="V501" s="58"/>
      <c r="W501" s="241"/>
      <c r="X501" s="250"/>
      <c r="Y501" s="58"/>
      <c r="Z501" s="59"/>
      <c r="AA501" s="60"/>
      <c r="AB501" s="61"/>
    </row>
    <row r="502" spans="1:28" ht="13.5" customHeight="1">
      <c r="A502" s="27"/>
      <c r="B502" s="44"/>
      <c r="C502" s="36"/>
      <c r="D502" s="6"/>
      <c r="E502" s="46" t="s">
        <v>1288</v>
      </c>
      <c r="F502" s="250" t="s">
        <v>3014</v>
      </c>
      <c r="G502" s="48">
        <v>1.6</v>
      </c>
      <c r="H502" s="46" t="s">
        <v>1288</v>
      </c>
      <c r="I502" s="250" t="s">
        <v>3014</v>
      </c>
      <c r="J502" s="48">
        <v>2.4</v>
      </c>
      <c r="K502" s="46"/>
      <c r="L502" s="250"/>
      <c r="M502" s="48"/>
      <c r="N502" s="46"/>
      <c r="O502" s="250"/>
      <c r="P502" s="48"/>
      <c r="Q502" s="241"/>
      <c r="R502" s="250"/>
      <c r="S502" s="58"/>
      <c r="T502" s="241"/>
      <c r="U502" s="250"/>
      <c r="V502" s="58"/>
      <c r="W502" s="241"/>
      <c r="X502" s="250"/>
      <c r="Y502" s="58"/>
      <c r="Z502" s="59"/>
      <c r="AA502" s="60"/>
      <c r="AB502" s="61"/>
    </row>
    <row r="503" spans="1:28" ht="13.5" customHeight="1">
      <c r="A503" s="27"/>
      <c r="B503" s="44"/>
      <c r="C503" s="82"/>
      <c r="D503" s="171"/>
      <c r="E503" s="46" t="s">
        <v>1296</v>
      </c>
      <c r="F503" s="115" t="s">
        <v>1286</v>
      </c>
      <c r="G503" s="48">
        <v>0.1</v>
      </c>
      <c r="H503" s="46" t="s">
        <v>1296</v>
      </c>
      <c r="I503" s="115" t="s">
        <v>1286</v>
      </c>
      <c r="J503" s="48">
        <v>0.1</v>
      </c>
      <c r="K503" s="46"/>
      <c r="L503" s="115"/>
      <c r="M503" s="48"/>
      <c r="N503" s="46"/>
      <c r="O503" s="115"/>
      <c r="P503" s="48"/>
      <c r="Q503" s="116"/>
      <c r="R503" s="115"/>
      <c r="S503" s="77"/>
      <c r="T503" s="116"/>
      <c r="U503" s="115"/>
      <c r="V503" s="77"/>
      <c r="W503" s="116"/>
      <c r="X503" s="115"/>
      <c r="Y503" s="77"/>
      <c r="Z503" s="78"/>
      <c r="AA503" s="79"/>
      <c r="AB503" s="80"/>
    </row>
    <row r="504" spans="1:28" ht="13.5" customHeight="1">
      <c r="A504" s="27"/>
      <c r="B504" s="28" t="s">
        <v>1310</v>
      </c>
      <c r="C504" s="21"/>
      <c r="D504" s="6" t="s">
        <v>1311</v>
      </c>
      <c r="E504" s="31" t="s">
        <v>1312</v>
      </c>
      <c r="F504" s="118"/>
      <c r="G504" s="33">
        <f>G505+G524</f>
        <v>37.4</v>
      </c>
      <c r="H504" s="31" t="s">
        <v>1312</v>
      </c>
      <c r="I504" s="118"/>
      <c r="J504" s="33">
        <f>J505+J524</f>
        <v>37.599999999999994</v>
      </c>
      <c r="K504" s="31" t="s">
        <v>1312</v>
      </c>
      <c r="L504" s="118"/>
      <c r="M504" s="33">
        <f>M505+M524</f>
        <v>32.200000000000003</v>
      </c>
      <c r="N504" s="31" t="s">
        <v>1312</v>
      </c>
      <c r="O504" s="118"/>
      <c r="P504" s="33">
        <f>P505+P524</f>
        <v>30.400000000000002</v>
      </c>
      <c r="Q504" s="31" t="s">
        <v>1312</v>
      </c>
      <c r="R504" s="118"/>
      <c r="S504" s="33">
        <f>S505+S524</f>
        <v>34.9</v>
      </c>
      <c r="T504" s="31" t="s">
        <v>1312</v>
      </c>
      <c r="U504" s="118"/>
      <c r="V504" s="33">
        <f>V505+V524</f>
        <v>33.200000000000003</v>
      </c>
      <c r="W504" s="119"/>
      <c r="X504" s="118"/>
      <c r="Y504" s="33">
        <f>Y505+Y524</f>
        <v>23.099999999999998</v>
      </c>
      <c r="Z504" s="65"/>
      <c r="AA504" s="66"/>
      <c r="AB504" s="33">
        <f>AB505+AB524</f>
        <v>18.599999999999991</v>
      </c>
    </row>
    <row r="505" spans="1:28" ht="13.5" customHeight="1">
      <c r="A505" s="27"/>
      <c r="B505" s="44"/>
      <c r="C505" s="28" t="s">
        <v>1313</v>
      </c>
      <c r="D505" s="30" t="s">
        <v>1314</v>
      </c>
      <c r="E505" s="37" t="s">
        <v>1315</v>
      </c>
      <c r="F505" s="41"/>
      <c r="G505" s="39">
        <f>SUM(G506:G523)</f>
        <v>24.5</v>
      </c>
      <c r="H505" s="37" t="s">
        <v>1315</v>
      </c>
      <c r="I505" s="41"/>
      <c r="J505" s="39">
        <f>SUM(J506:J523)</f>
        <v>23.599999999999998</v>
      </c>
      <c r="K505" s="37" t="s">
        <v>1315</v>
      </c>
      <c r="L505" s="41"/>
      <c r="M505" s="39">
        <f>SUM(M506:M523)</f>
        <v>20.399999999999999</v>
      </c>
      <c r="N505" s="37" t="s">
        <v>1315</v>
      </c>
      <c r="O505" s="41"/>
      <c r="P505" s="39">
        <f>SUM(P506:P523)</f>
        <v>18.900000000000002</v>
      </c>
      <c r="Q505" s="37" t="s">
        <v>1315</v>
      </c>
      <c r="R505" s="41"/>
      <c r="S505" s="39">
        <f>SUM(S506:S522)</f>
        <v>22</v>
      </c>
      <c r="T505" s="37" t="s">
        <v>1315</v>
      </c>
      <c r="U505" s="41"/>
      <c r="V505" s="39">
        <f>SUM(V506:V523)</f>
        <v>20.5</v>
      </c>
      <c r="W505" s="40"/>
      <c r="X505" s="41"/>
      <c r="Y505" s="39">
        <f>SUM(Y506:Y522)</f>
        <v>13.899999999999999</v>
      </c>
      <c r="Z505" s="42"/>
      <c r="AA505" s="43"/>
      <c r="AB505" s="39">
        <f>SUM(AB506:AB522)</f>
        <v>17.699999999999992</v>
      </c>
    </row>
    <row r="506" spans="1:28" ht="13.5" customHeight="1">
      <c r="A506" s="27"/>
      <c r="B506" s="105"/>
      <c r="C506" s="44"/>
      <c r="D506" s="45"/>
      <c r="E506" s="46" t="s">
        <v>1317</v>
      </c>
      <c r="F506" s="113" t="s">
        <v>1316</v>
      </c>
      <c r="G506" s="48">
        <v>20.5</v>
      </c>
      <c r="H506" s="46" t="s">
        <v>1317</v>
      </c>
      <c r="I506" s="113" t="s">
        <v>1316</v>
      </c>
      <c r="J506" s="48">
        <v>19.2</v>
      </c>
      <c r="K506" s="46" t="s">
        <v>1317</v>
      </c>
      <c r="L506" s="113" t="s">
        <v>1316</v>
      </c>
      <c r="M506" s="48">
        <v>16.3</v>
      </c>
      <c r="N506" s="46" t="s">
        <v>1317</v>
      </c>
      <c r="O506" s="113" t="s">
        <v>1316</v>
      </c>
      <c r="P506" s="48">
        <v>15.2</v>
      </c>
      <c r="Q506" s="55" t="s">
        <v>1317</v>
      </c>
      <c r="R506" s="113" t="s">
        <v>1316</v>
      </c>
      <c r="S506" s="48">
        <v>17.899999999999999</v>
      </c>
      <c r="T506" s="55" t="s">
        <v>1317</v>
      </c>
      <c r="U506" s="113" t="s">
        <v>1316</v>
      </c>
      <c r="V506" s="48">
        <v>16.5</v>
      </c>
      <c r="W506" s="55" t="s">
        <v>1290</v>
      </c>
      <c r="X506" s="113" t="s">
        <v>2699</v>
      </c>
      <c r="Y506" s="48">
        <v>12.6</v>
      </c>
      <c r="Z506" s="49" t="s">
        <v>1318</v>
      </c>
      <c r="AA506" s="50" t="s">
        <v>1319</v>
      </c>
      <c r="AB506" s="51">
        <v>6.1</v>
      </c>
    </row>
    <row r="507" spans="1:28" ht="13.5" customHeight="1">
      <c r="A507" s="27"/>
      <c r="B507" s="44"/>
      <c r="C507" s="36"/>
      <c r="D507" s="6"/>
      <c r="E507" s="46"/>
      <c r="F507" s="113"/>
      <c r="G507" s="48"/>
      <c r="H507" s="46"/>
      <c r="I507" s="113"/>
      <c r="J507" s="48"/>
      <c r="K507" s="46"/>
      <c r="L507" s="113"/>
      <c r="M507" s="48"/>
      <c r="N507" s="46"/>
      <c r="O507" s="113"/>
      <c r="P507" s="48"/>
      <c r="Q507" s="55"/>
      <c r="R507" s="113"/>
      <c r="S507" s="48"/>
      <c r="T507" s="55"/>
      <c r="U507" s="113"/>
      <c r="V507" s="48"/>
      <c r="W507" s="55"/>
      <c r="X507" s="113"/>
      <c r="Y507" s="48"/>
      <c r="Z507" s="49"/>
      <c r="AA507" s="50"/>
      <c r="AB507" s="51"/>
    </row>
    <row r="508" spans="1:28" ht="13.5" customHeight="1">
      <c r="A508" s="27"/>
      <c r="B508" s="44"/>
      <c r="C508" s="36"/>
      <c r="D508" s="6"/>
      <c r="E508" s="46"/>
      <c r="F508" s="113"/>
      <c r="G508" s="48"/>
      <c r="H508" s="46"/>
      <c r="I508" s="113"/>
      <c r="J508" s="48"/>
      <c r="K508" s="46"/>
      <c r="L508" s="113"/>
      <c r="M508" s="48"/>
      <c r="N508" s="46"/>
      <c r="O508" s="113"/>
      <c r="P508" s="48"/>
      <c r="Q508" s="55"/>
      <c r="R508" s="113"/>
      <c r="S508" s="48"/>
      <c r="T508" s="55"/>
      <c r="U508" s="113"/>
      <c r="V508" s="48"/>
      <c r="W508" s="55"/>
      <c r="X508" s="113"/>
      <c r="Y508" s="48"/>
      <c r="Z508" s="49" t="s">
        <v>1320</v>
      </c>
      <c r="AA508" s="50" t="s">
        <v>1321</v>
      </c>
      <c r="AB508" s="51">
        <v>1.2</v>
      </c>
    </row>
    <row r="509" spans="1:28" ht="13.5" customHeight="1">
      <c r="A509" s="27"/>
      <c r="B509" s="44"/>
      <c r="C509" s="36"/>
      <c r="D509" s="6"/>
      <c r="E509" s="46"/>
      <c r="F509" s="113"/>
      <c r="G509" s="48"/>
      <c r="H509" s="46"/>
      <c r="I509" s="113"/>
      <c r="J509" s="48"/>
      <c r="K509" s="46"/>
      <c r="L509" s="113"/>
      <c r="M509" s="48"/>
      <c r="N509" s="46"/>
      <c r="O509" s="113"/>
      <c r="P509" s="48"/>
      <c r="Q509" s="55"/>
      <c r="R509" s="113"/>
      <c r="S509" s="48"/>
      <c r="T509" s="55"/>
      <c r="U509" s="113"/>
      <c r="V509" s="48"/>
      <c r="W509" s="55"/>
      <c r="X509" s="113"/>
      <c r="Y509" s="48"/>
      <c r="Z509" s="49" t="s">
        <v>1323</v>
      </c>
      <c r="AA509" s="50" t="s">
        <v>1322</v>
      </c>
      <c r="AB509" s="51">
        <v>0.9</v>
      </c>
    </row>
    <row r="510" spans="1:28" ht="13.5" customHeight="1">
      <c r="A510" s="27"/>
      <c r="B510" s="44"/>
      <c r="C510" s="36"/>
      <c r="D510" s="6"/>
      <c r="E510" s="46"/>
      <c r="F510" s="113"/>
      <c r="G510" s="48"/>
      <c r="H510" s="46"/>
      <c r="I510" s="113"/>
      <c r="J510" s="48"/>
      <c r="K510" s="46"/>
      <c r="L510" s="113"/>
      <c r="M510" s="48"/>
      <c r="N510" s="46"/>
      <c r="O510" s="113"/>
      <c r="P510" s="48"/>
      <c r="Q510" s="55"/>
      <c r="R510" s="113"/>
      <c r="S510" s="48"/>
      <c r="T510" s="55"/>
      <c r="U510" s="113"/>
      <c r="V510" s="48"/>
      <c r="W510" s="55"/>
      <c r="X510" s="113"/>
      <c r="Y510" s="48"/>
      <c r="Z510" s="49" t="s">
        <v>1324</v>
      </c>
      <c r="AA510" s="50" t="s">
        <v>1325</v>
      </c>
      <c r="AB510" s="51">
        <v>0.6</v>
      </c>
    </row>
    <row r="511" spans="1:28" ht="13.5" customHeight="1">
      <c r="A511" s="27"/>
      <c r="B511" s="44"/>
      <c r="C511" s="36"/>
      <c r="D511" s="6"/>
      <c r="E511" s="46"/>
      <c r="F511" s="113"/>
      <c r="G511" s="48"/>
      <c r="H511" s="46"/>
      <c r="I511" s="113"/>
      <c r="J511" s="48"/>
      <c r="K511" s="46"/>
      <c r="L511" s="113"/>
      <c r="M511" s="48"/>
      <c r="N511" s="46"/>
      <c r="O511" s="113"/>
      <c r="P511" s="48"/>
      <c r="Q511" s="55"/>
      <c r="R511" s="113"/>
      <c r="S511" s="48"/>
      <c r="T511" s="55"/>
      <c r="U511" s="113"/>
      <c r="V511" s="48"/>
      <c r="W511" s="55"/>
      <c r="X511" s="113"/>
      <c r="Y511" s="48"/>
      <c r="Z511" s="49" t="s">
        <v>1326</v>
      </c>
      <c r="AA511" s="50" t="s">
        <v>1327</v>
      </c>
      <c r="AB511" s="51">
        <v>0.6</v>
      </c>
    </row>
    <row r="512" spans="1:28" ht="13.5" customHeight="1">
      <c r="A512" s="27"/>
      <c r="B512" s="44"/>
      <c r="C512" s="36"/>
      <c r="D512" s="6"/>
      <c r="E512" s="46"/>
      <c r="F512" s="113"/>
      <c r="G512" s="48"/>
      <c r="H512" s="46"/>
      <c r="I512" s="113"/>
      <c r="J512" s="48"/>
      <c r="K512" s="46"/>
      <c r="L512" s="113"/>
      <c r="M512" s="48"/>
      <c r="N512" s="46"/>
      <c r="O512" s="113"/>
      <c r="P512" s="48"/>
      <c r="Q512" s="55"/>
      <c r="R512" s="113"/>
      <c r="S512" s="48"/>
      <c r="T512" s="55"/>
      <c r="U512" s="113"/>
      <c r="V512" s="48"/>
      <c r="W512" s="55"/>
      <c r="X512" s="113"/>
      <c r="Y512" s="48"/>
      <c r="Z512" s="49" t="s">
        <v>1328</v>
      </c>
      <c r="AA512" s="50" t="s">
        <v>1329</v>
      </c>
      <c r="AB512" s="51">
        <v>0.2</v>
      </c>
    </row>
    <row r="513" spans="1:28" ht="13.5" customHeight="1">
      <c r="A513" s="27"/>
      <c r="B513" s="44"/>
      <c r="C513" s="36"/>
      <c r="D513" s="6"/>
      <c r="E513" s="46"/>
      <c r="F513" s="113"/>
      <c r="G513" s="48"/>
      <c r="H513" s="46"/>
      <c r="I513" s="113"/>
      <c r="J513" s="48"/>
      <c r="K513" s="46"/>
      <c r="L513" s="113"/>
      <c r="M513" s="48"/>
      <c r="N513" s="46"/>
      <c r="O513" s="113"/>
      <c r="P513" s="48"/>
      <c r="Q513" s="55"/>
      <c r="R513" s="113"/>
      <c r="S513" s="48"/>
      <c r="T513" s="55"/>
      <c r="U513" s="113"/>
      <c r="V513" s="48"/>
      <c r="W513" s="55"/>
      <c r="X513" s="113"/>
      <c r="Y513" s="48"/>
      <c r="Z513" s="49" t="s">
        <v>1330</v>
      </c>
      <c r="AA513" s="50" t="s">
        <v>1331</v>
      </c>
      <c r="AB513" s="51">
        <v>1.7</v>
      </c>
    </row>
    <row r="514" spans="1:28" ht="13.5" customHeight="1">
      <c r="A514" s="27"/>
      <c r="B514" s="44"/>
      <c r="C514" s="36"/>
      <c r="D514" s="6"/>
      <c r="E514" s="46"/>
      <c r="F514" s="113"/>
      <c r="G514" s="48"/>
      <c r="H514" s="46"/>
      <c r="I514" s="113"/>
      <c r="J514" s="48"/>
      <c r="K514" s="46"/>
      <c r="L514" s="113"/>
      <c r="M514" s="48"/>
      <c r="N514" s="46"/>
      <c r="O514" s="113"/>
      <c r="P514" s="48"/>
      <c r="Q514" s="55"/>
      <c r="R514" s="113"/>
      <c r="S514" s="48"/>
      <c r="T514" s="55"/>
      <c r="U514" s="113"/>
      <c r="V514" s="48"/>
      <c r="W514" s="55"/>
      <c r="X514" s="113"/>
      <c r="Y514" s="48"/>
      <c r="Z514" s="49" t="s">
        <v>1332</v>
      </c>
      <c r="AA514" s="50" t="s">
        <v>1333</v>
      </c>
      <c r="AB514" s="51">
        <v>1.7</v>
      </c>
    </row>
    <row r="515" spans="1:28" ht="13.5" customHeight="1">
      <c r="A515" s="27"/>
      <c r="B515" s="44"/>
      <c r="C515" s="36"/>
      <c r="D515" s="6"/>
      <c r="E515" s="46"/>
      <c r="F515" s="113"/>
      <c r="G515" s="48"/>
      <c r="H515" s="46"/>
      <c r="I515" s="113"/>
      <c r="J515" s="48"/>
      <c r="K515" s="46"/>
      <c r="L515" s="113"/>
      <c r="M515" s="48"/>
      <c r="N515" s="46"/>
      <c r="O515" s="113"/>
      <c r="P515" s="48"/>
      <c r="Q515" s="55"/>
      <c r="R515" s="113"/>
      <c r="S515" s="48"/>
      <c r="T515" s="55"/>
      <c r="U515" s="113"/>
      <c r="V515" s="48"/>
      <c r="W515" s="55"/>
      <c r="X515" s="113"/>
      <c r="Y515" s="48"/>
      <c r="Z515" s="49" t="s">
        <v>1334</v>
      </c>
      <c r="AA515" s="50" t="s">
        <v>1335</v>
      </c>
      <c r="AB515" s="51">
        <v>2.6</v>
      </c>
    </row>
    <row r="516" spans="1:28" ht="13.5" customHeight="1">
      <c r="A516" s="27"/>
      <c r="B516" s="44"/>
      <c r="C516" s="36"/>
      <c r="D516" s="6"/>
      <c r="E516" s="46"/>
      <c r="F516" s="113"/>
      <c r="G516" s="48"/>
      <c r="H516" s="46"/>
      <c r="I516" s="113"/>
      <c r="J516" s="48"/>
      <c r="K516" s="46"/>
      <c r="L516" s="113"/>
      <c r="M516" s="48"/>
      <c r="N516" s="46"/>
      <c r="O516" s="113"/>
      <c r="P516" s="48"/>
      <c r="Q516" s="55"/>
      <c r="R516" s="113"/>
      <c r="S516" s="48"/>
      <c r="T516" s="55"/>
      <c r="U516" s="113"/>
      <c r="V516" s="48"/>
      <c r="W516" s="55"/>
      <c r="X516" s="113"/>
      <c r="Y516" s="48"/>
      <c r="Z516" s="49" t="s">
        <v>1336</v>
      </c>
      <c r="AA516" s="50" t="s">
        <v>1337</v>
      </c>
      <c r="AB516" s="51">
        <v>0.5</v>
      </c>
    </row>
    <row r="517" spans="1:28" ht="13.5" customHeight="1">
      <c r="A517" s="27"/>
      <c r="B517" s="44"/>
      <c r="C517" s="36"/>
      <c r="D517" s="6"/>
      <c r="E517" s="46"/>
      <c r="F517" s="113"/>
      <c r="G517" s="48"/>
      <c r="H517" s="46"/>
      <c r="I517" s="113"/>
      <c r="J517" s="48"/>
      <c r="K517" s="46"/>
      <c r="L517" s="113"/>
      <c r="M517" s="48"/>
      <c r="N517" s="46"/>
      <c r="O517" s="113"/>
      <c r="P517" s="48"/>
      <c r="Q517" s="55"/>
      <c r="R517" s="113"/>
      <c r="S517" s="48"/>
      <c r="T517" s="55"/>
      <c r="U517" s="113"/>
      <c r="V517" s="48"/>
      <c r="W517" s="55"/>
      <c r="X517" s="113"/>
      <c r="Y517" s="48"/>
      <c r="Z517" s="49" t="s">
        <v>1338</v>
      </c>
      <c r="AA517" s="50" t="s">
        <v>1339</v>
      </c>
      <c r="AB517" s="51">
        <v>0.4</v>
      </c>
    </row>
    <row r="518" spans="1:28" ht="13.5" customHeight="1">
      <c r="A518" s="27"/>
      <c r="B518" s="44"/>
      <c r="C518" s="36"/>
      <c r="D518" s="6"/>
      <c r="E518" s="46"/>
      <c r="F518" s="113"/>
      <c r="G518" s="48"/>
      <c r="H518" s="46"/>
      <c r="I518" s="113"/>
      <c r="J518" s="48"/>
      <c r="K518" s="46"/>
      <c r="L518" s="113"/>
      <c r="M518" s="48"/>
      <c r="N518" s="46"/>
      <c r="O518" s="113"/>
      <c r="P518" s="48"/>
      <c r="Q518" s="55"/>
      <c r="R518" s="113"/>
      <c r="S518" s="48"/>
      <c r="T518" s="55"/>
      <c r="U518" s="113"/>
      <c r="V518" s="48"/>
      <c r="W518" s="55"/>
      <c r="X518" s="113"/>
      <c r="Y518" s="48"/>
      <c r="Z518" s="49" t="s">
        <v>1340</v>
      </c>
      <c r="AA518" s="50" t="s">
        <v>1341</v>
      </c>
      <c r="AB518" s="51">
        <v>0.5</v>
      </c>
    </row>
    <row r="519" spans="1:28" ht="13.5" customHeight="1">
      <c r="A519" s="27"/>
      <c r="B519" s="44"/>
      <c r="C519" s="36"/>
      <c r="D519" s="6"/>
      <c r="E519" s="46" t="s">
        <v>1342</v>
      </c>
      <c r="F519" s="47" t="s">
        <v>2700</v>
      </c>
      <c r="G519" s="48">
        <v>1.2</v>
      </c>
      <c r="H519" s="46" t="s">
        <v>1342</v>
      </c>
      <c r="I519" s="47" t="s">
        <v>2700</v>
      </c>
      <c r="J519" s="48">
        <v>1.3</v>
      </c>
      <c r="K519" s="46" t="s">
        <v>1342</v>
      </c>
      <c r="L519" s="47" t="s">
        <v>2700</v>
      </c>
      <c r="M519" s="48">
        <v>1.2</v>
      </c>
      <c r="N519" s="46" t="s">
        <v>1342</v>
      </c>
      <c r="O519" s="47" t="s">
        <v>2700</v>
      </c>
      <c r="P519" s="48">
        <v>1</v>
      </c>
      <c r="Q519" s="46" t="s">
        <v>1342</v>
      </c>
      <c r="R519" s="47" t="s">
        <v>1343</v>
      </c>
      <c r="S519" s="48">
        <v>2.1</v>
      </c>
      <c r="T519" s="46" t="s">
        <v>1342</v>
      </c>
      <c r="U519" s="47" t="s">
        <v>1343</v>
      </c>
      <c r="V519" s="48">
        <v>1.9</v>
      </c>
      <c r="W519" s="46" t="s">
        <v>1318</v>
      </c>
      <c r="X519" s="47" t="s">
        <v>2701</v>
      </c>
      <c r="Y519" s="48">
        <v>0.6</v>
      </c>
      <c r="Z519" s="49"/>
      <c r="AA519" s="50"/>
      <c r="AB519" s="51"/>
    </row>
    <row r="520" spans="1:28" ht="13.5" customHeight="1">
      <c r="A520" s="27"/>
      <c r="B520" s="44"/>
      <c r="C520" s="36"/>
      <c r="D520" s="6"/>
      <c r="E520" s="46"/>
      <c r="F520" s="113"/>
      <c r="G520" s="48"/>
      <c r="H520" s="46"/>
      <c r="I520" s="113"/>
      <c r="J520" s="48"/>
      <c r="K520" s="46"/>
      <c r="L520" s="113"/>
      <c r="M520" s="48"/>
      <c r="N520" s="46"/>
      <c r="O520" s="113"/>
      <c r="P520" s="48"/>
      <c r="Q520" s="55"/>
      <c r="R520" s="113"/>
      <c r="S520" s="48"/>
      <c r="T520" s="55"/>
      <c r="U520" s="113"/>
      <c r="V520" s="48"/>
      <c r="W520" s="55"/>
      <c r="X520" s="113"/>
      <c r="Y520" s="48"/>
      <c r="Z520" s="49" t="s">
        <v>1344</v>
      </c>
      <c r="AA520" s="50" t="s">
        <v>1345</v>
      </c>
      <c r="AB520" s="51">
        <v>0.3</v>
      </c>
    </row>
    <row r="521" spans="1:28" ht="13.5" customHeight="1">
      <c r="A521" s="27"/>
      <c r="B521" s="44"/>
      <c r="C521" s="36"/>
      <c r="D521" s="6"/>
      <c r="E521" s="46" t="s">
        <v>1350</v>
      </c>
      <c r="F521" s="113" t="s">
        <v>1346</v>
      </c>
      <c r="G521" s="48">
        <v>1</v>
      </c>
      <c r="H521" s="46" t="s">
        <v>1350</v>
      </c>
      <c r="I521" s="113" t="s">
        <v>1346</v>
      </c>
      <c r="J521" s="48">
        <v>1.2</v>
      </c>
      <c r="K521" s="46" t="s">
        <v>1350</v>
      </c>
      <c r="L521" s="113" t="s">
        <v>1346</v>
      </c>
      <c r="M521" s="48">
        <v>1.2</v>
      </c>
      <c r="N521" s="46" t="s">
        <v>1350</v>
      </c>
      <c r="O521" s="113" t="s">
        <v>1346</v>
      </c>
      <c r="P521" s="48">
        <v>1.1000000000000001</v>
      </c>
      <c r="Q521" s="55" t="s">
        <v>1347</v>
      </c>
      <c r="R521" s="113" t="s">
        <v>1346</v>
      </c>
      <c r="S521" s="48">
        <v>1</v>
      </c>
      <c r="T521" s="55" t="s">
        <v>1347</v>
      </c>
      <c r="U521" s="113" t="s">
        <v>1346</v>
      </c>
      <c r="V521" s="48">
        <v>1.1000000000000001</v>
      </c>
      <c r="W521" s="55" t="s">
        <v>1298</v>
      </c>
      <c r="X521" s="113" t="s">
        <v>2702</v>
      </c>
      <c r="Y521" s="48">
        <v>0.7</v>
      </c>
      <c r="Z521" s="49" t="s">
        <v>1348</v>
      </c>
      <c r="AA521" s="50" t="s">
        <v>1349</v>
      </c>
      <c r="AB521" s="51">
        <v>0.4</v>
      </c>
    </row>
    <row r="522" spans="1:28" ht="13.5" customHeight="1">
      <c r="A522" s="27"/>
      <c r="B522" s="44"/>
      <c r="C522" s="36"/>
      <c r="D522" s="6"/>
      <c r="E522" s="46"/>
      <c r="F522" s="113"/>
      <c r="G522" s="48"/>
      <c r="H522" s="46"/>
      <c r="I522" s="113"/>
      <c r="J522" s="48"/>
      <c r="K522" s="46"/>
      <c r="L522" s="113"/>
      <c r="M522" s="48"/>
      <c r="N522" s="46"/>
      <c r="O522" s="113"/>
      <c r="P522" s="48"/>
      <c r="Q522" s="55" t="s">
        <v>1350</v>
      </c>
      <c r="R522" s="113" t="s">
        <v>1351</v>
      </c>
      <c r="S522" s="48">
        <v>1</v>
      </c>
      <c r="T522" s="55" t="s">
        <v>1350</v>
      </c>
      <c r="U522" s="113" t="s">
        <v>1351</v>
      </c>
      <c r="V522" s="48">
        <v>1</v>
      </c>
      <c r="W522" s="55"/>
      <c r="X522" s="113"/>
      <c r="Y522" s="48"/>
      <c r="Z522" s="49"/>
      <c r="AA522" s="50"/>
      <c r="AB522" s="51"/>
    </row>
    <row r="523" spans="1:28" ht="13.5" customHeight="1">
      <c r="A523" s="27"/>
      <c r="B523" s="44"/>
      <c r="C523" s="82"/>
      <c r="D523" s="83"/>
      <c r="E523" s="46" t="s">
        <v>1347</v>
      </c>
      <c r="F523" s="113" t="s">
        <v>2703</v>
      </c>
      <c r="G523" s="48">
        <v>1.8</v>
      </c>
      <c r="H523" s="46" t="s">
        <v>1347</v>
      </c>
      <c r="I523" s="113" t="s">
        <v>2703</v>
      </c>
      <c r="J523" s="48">
        <v>1.9</v>
      </c>
      <c r="K523" s="46" t="s">
        <v>1347</v>
      </c>
      <c r="L523" s="113" t="s">
        <v>2703</v>
      </c>
      <c r="M523" s="48">
        <v>1.7</v>
      </c>
      <c r="N523" s="46" t="s">
        <v>1347</v>
      </c>
      <c r="O523" s="113" t="s">
        <v>2703</v>
      </c>
      <c r="P523" s="48">
        <v>1.6</v>
      </c>
      <c r="Q523" s="55"/>
      <c r="R523" s="113"/>
      <c r="S523" s="77"/>
      <c r="T523" s="55"/>
      <c r="U523" s="113"/>
      <c r="V523" s="77"/>
      <c r="W523" s="76"/>
      <c r="X523" s="75"/>
      <c r="Y523" s="77"/>
      <c r="Z523" s="78"/>
      <c r="AA523" s="79"/>
      <c r="AB523" s="80"/>
    </row>
    <row r="524" spans="1:28" ht="13.5" customHeight="1">
      <c r="A524" s="27"/>
      <c r="B524" s="44"/>
      <c r="C524" s="36" t="s">
        <v>1352</v>
      </c>
      <c r="D524" s="6" t="s">
        <v>1353</v>
      </c>
      <c r="E524" s="37" t="s">
        <v>1354</v>
      </c>
      <c r="F524" s="169"/>
      <c r="G524" s="39">
        <f>SUM(G525:G526)</f>
        <v>12.899999999999999</v>
      </c>
      <c r="H524" s="37" t="s">
        <v>1354</v>
      </c>
      <c r="I524" s="169"/>
      <c r="J524" s="39">
        <f>SUM(J525:J526)</f>
        <v>14</v>
      </c>
      <c r="K524" s="37" t="s">
        <v>1354</v>
      </c>
      <c r="L524" s="169"/>
      <c r="M524" s="39">
        <f>SUM(M525:M526)</f>
        <v>11.8</v>
      </c>
      <c r="N524" s="37" t="s">
        <v>1354</v>
      </c>
      <c r="O524" s="169"/>
      <c r="P524" s="39">
        <f>SUM(P525:P526)</f>
        <v>11.5</v>
      </c>
      <c r="Q524" s="37" t="s">
        <v>1354</v>
      </c>
      <c r="R524" s="169"/>
      <c r="S524" s="39">
        <f>SUM(S525)</f>
        <v>12.9</v>
      </c>
      <c r="T524" s="37" t="s">
        <v>1354</v>
      </c>
      <c r="U524" s="169"/>
      <c r="V524" s="39">
        <f>SUM(V525:V526)</f>
        <v>12.7</v>
      </c>
      <c r="W524" s="168"/>
      <c r="X524" s="169"/>
      <c r="Y524" s="39">
        <f>SUM(Y525)</f>
        <v>9.1999999999999993</v>
      </c>
      <c r="Z524" s="42"/>
      <c r="AA524" s="43"/>
      <c r="AB524" s="39">
        <f>SUM(AB525)</f>
        <v>0.9</v>
      </c>
    </row>
    <row r="525" spans="1:28" ht="13.5" customHeight="1">
      <c r="A525" s="27"/>
      <c r="B525" s="44"/>
      <c r="C525" s="172"/>
      <c r="D525" s="173"/>
      <c r="E525" s="156" t="s">
        <v>1356</v>
      </c>
      <c r="F525" s="174" t="s">
        <v>1355</v>
      </c>
      <c r="G525" s="48">
        <v>6.1</v>
      </c>
      <c r="H525" s="156" t="s">
        <v>1356</v>
      </c>
      <c r="I525" s="174" t="s">
        <v>1355</v>
      </c>
      <c r="J525" s="48">
        <v>7.2</v>
      </c>
      <c r="K525" s="156" t="s">
        <v>1356</v>
      </c>
      <c r="L525" s="174" t="s">
        <v>1355</v>
      </c>
      <c r="M525" s="48">
        <v>5.5</v>
      </c>
      <c r="N525" s="156" t="s">
        <v>1356</v>
      </c>
      <c r="O525" s="174" t="s">
        <v>1355</v>
      </c>
      <c r="P525" s="48">
        <v>5</v>
      </c>
      <c r="Q525" s="175" t="s">
        <v>1356</v>
      </c>
      <c r="R525" s="174" t="s">
        <v>1355</v>
      </c>
      <c r="S525" s="176">
        <v>12.9</v>
      </c>
      <c r="T525" s="175" t="s">
        <v>1356</v>
      </c>
      <c r="U525" s="174" t="s">
        <v>1355</v>
      </c>
      <c r="V525" s="176">
        <v>12.7</v>
      </c>
      <c r="W525" s="175" t="s">
        <v>1302</v>
      </c>
      <c r="X525" s="174" t="s">
        <v>2704</v>
      </c>
      <c r="Y525" s="176">
        <v>9.1999999999999993</v>
      </c>
      <c r="Z525" s="158" t="s">
        <v>1357</v>
      </c>
      <c r="AA525" s="159" t="s">
        <v>1358</v>
      </c>
      <c r="AB525" s="160">
        <v>0.9</v>
      </c>
    </row>
    <row r="526" spans="1:28" ht="13.5" customHeight="1">
      <c r="A526" s="27"/>
      <c r="B526" s="44"/>
      <c r="C526" s="114"/>
      <c r="D526" s="140"/>
      <c r="E526" s="156" t="s">
        <v>2970</v>
      </c>
      <c r="F526" s="88" t="s">
        <v>2705</v>
      </c>
      <c r="G526" s="48">
        <v>6.8</v>
      </c>
      <c r="H526" s="156" t="s">
        <v>2970</v>
      </c>
      <c r="I526" s="88" t="s">
        <v>2705</v>
      </c>
      <c r="J526" s="48">
        <v>6.8</v>
      </c>
      <c r="K526" s="156" t="s">
        <v>2970</v>
      </c>
      <c r="L526" s="88" t="s">
        <v>2705</v>
      </c>
      <c r="M526" s="48">
        <v>6.3</v>
      </c>
      <c r="N526" s="156" t="s">
        <v>2970</v>
      </c>
      <c r="O526" s="88" t="s">
        <v>2705</v>
      </c>
      <c r="P526" s="48">
        <v>6.5</v>
      </c>
      <c r="Q526" s="96"/>
      <c r="R526" s="88"/>
      <c r="S526" s="146"/>
      <c r="T526" s="96"/>
      <c r="U526" s="88"/>
      <c r="V526" s="146"/>
      <c r="W526" s="96"/>
      <c r="X526" s="88"/>
      <c r="Y526" s="146"/>
      <c r="Z526" s="90"/>
      <c r="AA526" s="91"/>
      <c r="AB526" s="147"/>
    </row>
    <row r="527" spans="1:28" ht="13.5" customHeight="1">
      <c r="A527" s="27"/>
      <c r="B527" s="28" t="s">
        <v>1359</v>
      </c>
      <c r="C527" s="21"/>
      <c r="D527" s="6" t="s">
        <v>1360</v>
      </c>
      <c r="E527" s="31" t="s">
        <v>1361</v>
      </c>
      <c r="F527" s="177"/>
      <c r="G527" s="33">
        <f>G528</f>
        <v>11.299999999999999</v>
      </c>
      <c r="H527" s="31" t="s">
        <v>1361</v>
      </c>
      <c r="I527" s="177"/>
      <c r="J527" s="33">
        <f>J528</f>
        <v>13.399999999999999</v>
      </c>
      <c r="K527" s="31" t="s">
        <v>1361</v>
      </c>
      <c r="L527" s="177"/>
      <c r="M527" s="33">
        <f>M528</f>
        <v>10.299999999999999</v>
      </c>
      <c r="N527" s="31" t="s">
        <v>1361</v>
      </c>
      <c r="O527" s="177"/>
      <c r="P527" s="33">
        <f>P528</f>
        <v>11.1</v>
      </c>
      <c r="Q527" s="31" t="s">
        <v>1361</v>
      </c>
      <c r="R527" s="177"/>
      <c r="S527" s="33">
        <f>S528</f>
        <v>12</v>
      </c>
      <c r="T527" s="31" t="s">
        <v>1361</v>
      </c>
      <c r="U527" s="177"/>
      <c r="V527" s="33">
        <f>V528</f>
        <v>12.4</v>
      </c>
      <c r="W527" s="166"/>
      <c r="X527" s="177"/>
      <c r="Y527" s="33">
        <f>Y528</f>
        <v>8.1</v>
      </c>
      <c r="Z527" s="65"/>
      <c r="AA527" s="66"/>
      <c r="AB527" s="33">
        <f>AB528</f>
        <v>1.7</v>
      </c>
    </row>
    <row r="528" spans="1:28" ht="13.5" customHeight="1">
      <c r="A528" s="27"/>
      <c r="B528" s="36"/>
      <c r="C528" s="28" t="s">
        <v>1362</v>
      </c>
      <c r="D528" s="30" t="s">
        <v>1360</v>
      </c>
      <c r="E528" s="37" t="s">
        <v>1363</v>
      </c>
      <c r="F528" s="169"/>
      <c r="G528" s="39">
        <f>SUM(G529:G530)</f>
        <v>11.299999999999999</v>
      </c>
      <c r="H528" s="37" t="s">
        <v>1363</v>
      </c>
      <c r="I528" s="169"/>
      <c r="J528" s="39">
        <f>SUM(J529:J530)</f>
        <v>13.399999999999999</v>
      </c>
      <c r="K528" s="37" t="s">
        <v>1363</v>
      </c>
      <c r="L528" s="169"/>
      <c r="M528" s="39">
        <f>SUM(M529:M530)</f>
        <v>10.299999999999999</v>
      </c>
      <c r="N528" s="37" t="s">
        <v>1363</v>
      </c>
      <c r="O528" s="169"/>
      <c r="P528" s="39">
        <f>SUM(P529:P530)</f>
        <v>11.1</v>
      </c>
      <c r="Q528" s="37" t="s">
        <v>1363</v>
      </c>
      <c r="R528" s="169"/>
      <c r="S528" s="39">
        <f>SUM(S529)</f>
        <v>12</v>
      </c>
      <c r="T528" s="37" t="s">
        <v>1363</v>
      </c>
      <c r="U528" s="169"/>
      <c r="V528" s="39">
        <f>SUM(V529:V530)</f>
        <v>12.4</v>
      </c>
      <c r="W528" s="168"/>
      <c r="X528" s="169"/>
      <c r="Y528" s="39">
        <f>SUM(Y529)</f>
        <v>8.1</v>
      </c>
      <c r="Z528" s="42"/>
      <c r="AA528" s="43"/>
      <c r="AB528" s="39">
        <f>SUM(AB529)</f>
        <v>1.7</v>
      </c>
    </row>
    <row r="529" spans="1:28" ht="13.5" customHeight="1">
      <c r="A529" s="178"/>
      <c r="B529" s="144"/>
      <c r="C529" s="44"/>
      <c r="D529" s="179"/>
      <c r="E529" s="156" t="s">
        <v>1365</v>
      </c>
      <c r="F529" s="155" t="s">
        <v>1364</v>
      </c>
      <c r="G529" s="48">
        <v>10.199999999999999</v>
      </c>
      <c r="H529" s="156" t="s">
        <v>1365</v>
      </c>
      <c r="I529" s="155" t="s">
        <v>1364</v>
      </c>
      <c r="J529" s="48">
        <v>11.7</v>
      </c>
      <c r="K529" s="156" t="s">
        <v>1365</v>
      </c>
      <c r="L529" s="155" t="s">
        <v>1364</v>
      </c>
      <c r="M529" s="48">
        <v>8.6999999999999993</v>
      </c>
      <c r="N529" s="156" t="s">
        <v>1365</v>
      </c>
      <c r="O529" s="155" t="s">
        <v>1364</v>
      </c>
      <c r="P529" s="48">
        <v>9.5</v>
      </c>
      <c r="Q529" s="156" t="s">
        <v>1365</v>
      </c>
      <c r="R529" s="155" t="s">
        <v>1364</v>
      </c>
      <c r="S529" s="157">
        <v>12</v>
      </c>
      <c r="T529" s="156" t="s">
        <v>1365</v>
      </c>
      <c r="U529" s="155" t="s">
        <v>1364</v>
      </c>
      <c r="V529" s="157">
        <v>12.4</v>
      </c>
      <c r="W529" s="156" t="s">
        <v>1293</v>
      </c>
      <c r="X529" s="155" t="s">
        <v>2706</v>
      </c>
      <c r="Y529" s="157">
        <v>8.1</v>
      </c>
      <c r="Z529" s="158" t="s">
        <v>1366</v>
      </c>
      <c r="AA529" s="159" t="s">
        <v>1367</v>
      </c>
      <c r="AB529" s="160">
        <v>1.7</v>
      </c>
    </row>
    <row r="530" spans="1:28" ht="13.5" customHeight="1">
      <c r="A530" s="145"/>
      <c r="B530" s="180"/>
      <c r="C530" s="114"/>
      <c r="D530" s="140"/>
      <c r="E530" s="156" t="s">
        <v>2971</v>
      </c>
      <c r="F530" s="88" t="s">
        <v>2707</v>
      </c>
      <c r="G530" s="48">
        <v>1.1000000000000001</v>
      </c>
      <c r="H530" s="156" t="s">
        <v>2971</v>
      </c>
      <c r="I530" s="88" t="s">
        <v>2707</v>
      </c>
      <c r="J530" s="48">
        <v>1.7</v>
      </c>
      <c r="K530" s="156" t="s">
        <v>2971</v>
      </c>
      <c r="L530" s="88" t="s">
        <v>2707</v>
      </c>
      <c r="M530" s="48">
        <v>1.6</v>
      </c>
      <c r="N530" s="156" t="s">
        <v>2971</v>
      </c>
      <c r="O530" s="88" t="s">
        <v>2707</v>
      </c>
      <c r="P530" s="48">
        <v>1.6</v>
      </c>
      <c r="Q530" s="96"/>
      <c r="R530" s="88"/>
      <c r="S530" s="146"/>
      <c r="T530" s="96"/>
      <c r="U530" s="88"/>
      <c r="V530" s="146"/>
      <c r="W530" s="96"/>
      <c r="X530" s="88"/>
      <c r="Y530" s="146"/>
      <c r="Z530" s="110"/>
      <c r="AA530" s="111"/>
      <c r="AB530" s="112"/>
    </row>
    <row r="531" spans="1:28" ht="13.5" customHeight="1">
      <c r="A531" s="19" t="s">
        <v>1368</v>
      </c>
      <c r="B531" s="21"/>
      <c r="C531" s="21"/>
      <c r="D531" s="6" t="s">
        <v>1369</v>
      </c>
      <c r="E531" s="93"/>
      <c r="F531" s="92"/>
      <c r="G531" s="245">
        <f>SUM(G532,G542,G562)</f>
        <v>110.6</v>
      </c>
      <c r="H531" s="93"/>
      <c r="I531" s="92"/>
      <c r="J531" s="245">
        <f>SUM(J532,J542,J562)</f>
        <v>106</v>
      </c>
      <c r="K531" s="93"/>
      <c r="L531" s="92"/>
      <c r="M531" s="245">
        <f>SUM(M532,M542,M562)</f>
        <v>112.6</v>
      </c>
      <c r="N531" s="93"/>
      <c r="O531" s="92"/>
      <c r="P531" s="245">
        <f>SUM(P532,P542,P562)</f>
        <v>111</v>
      </c>
      <c r="Q531" s="93"/>
      <c r="R531" s="92"/>
      <c r="S531" s="181">
        <f>SUM(S532,S542,S562)</f>
        <v>111.4</v>
      </c>
      <c r="T531" s="93"/>
      <c r="U531" s="92"/>
      <c r="V531" s="181">
        <f>SUM(V532,V542,V562)</f>
        <v>109.2</v>
      </c>
      <c r="W531" s="93"/>
      <c r="X531" s="92"/>
      <c r="Y531" s="181">
        <f>SUM(Y532,Y542,Y562)</f>
        <v>109</v>
      </c>
      <c r="Z531" s="90"/>
      <c r="AA531" s="91"/>
      <c r="AB531" s="181">
        <f>SUM(AB532,AB542,AB562)</f>
        <v>106.60000000000001</v>
      </c>
    </row>
    <row r="532" spans="1:28" ht="13.5" customHeight="1">
      <c r="A532" s="104"/>
      <c r="B532" s="28" t="s">
        <v>1370</v>
      </c>
      <c r="C532" s="29"/>
      <c r="D532" s="30" t="s">
        <v>1371</v>
      </c>
      <c r="E532" s="31" t="s">
        <v>1372</v>
      </c>
      <c r="F532" s="118"/>
      <c r="G532" s="33">
        <f>G533</f>
        <v>28.4</v>
      </c>
      <c r="H532" s="31" t="s">
        <v>1372</v>
      </c>
      <c r="I532" s="118"/>
      <c r="J532" s="33">
        <f>J533</f>
        <v>32.5</v>
      </c>
      <c r="K532" s="31" t="s">
        <v>1372</v>
      </c>
      <c r="L532" s="118"/>
      <c r="M532" s="33">
        <f>M533</f>
        <v>31.9</v>
      </c>
      <c r="N532" s="31" t="s">
        <v>1372</v>
      </c>
      <c r="O532" s="118"/>
      <c r="P532" s="33">
        <f>P533</f>
        <v>29.2</v>
      </c>
      <c r="Q532" s="31" t="s">
        <v>1372</v>
      </c>
      <c r="R532" s="118"/>
      <c r="S532" s="33">
        <f>S533</f>
        <v>22.1</v>
      </c>
      <c r="T532" s="31" t="s">
        <v>1372</v>
      </c>
      <c r="U532" s="118"/>
      <c r="V532" s="33">
        <f>V533</f>
        <v>23.099999999999998</v>
      </c>
      <c r="W532" s="119"/>
      <c r="X532" s="118"/>
      <c r="Y532" s="33">
        <f>Y533</f>
        <v>21.7</v>
      </c>
      <c r="Z532" s="65"/>
      <c r="AA532" s="66"/>
      <c r="AB532" s="33">
        <f>AB533</f>
        <v>27.7</v>
      </c>
    </row>
    <row r="533" spans="1:28" ht="13.5" customHeight="1">
      <c r="A533" s="104"/>
      <c r="B533" s="36"/>
      <c r="C533" s="28" t="s">
        <v>1373</v>
      </c>
      <c r="D533" s="30" t="s">
        <v>1371</v>
      </c>
      <c r="E533" s="37" t="s">
        <v>1374</v>
      </c>
      <c r="F533" s="71"/>
      <c r="G533" s="39">
        <f>SUM(G534:G541)</f>
        <v>28.4</v>
      </c>
      <c r="H533" s="37" t="s">
        <v>1374</v>
      </c>
      <c r="I533" s="71"/>
      <c r="J533" s="39">
        <f>SUM(J534:J541)</f>
        <v>32.5</v>
      </c>
      <c r="K533" s="37" t="s">
        <v>1374</v>
      </c>
      <c r="L533" s="71"/>
      <c r="M533" s="39">
        <f>SUM(M534:M541)</f>
        <v>31.9</v>
      </c>
      <c r="N533" s="37" t="s">
        <v>1374</v>
      </c>
      <c r="O533" s="71"/>
      <c r="P533" s="39">
        <f>SUM(P534:P541)</f>
        <v>29.2</v>
      </c>
      <c r="Q533" s="37" t="s">
        <v>1374</v>
      </c>
      <c r="R533" s="71"/>
      <c r="S533" s="39">
        <f>SUM(S534:S541)</f>
        <v>22.1</v>
      </c>
      <c r="T533" s="37" t="s">
        <v>1374</v>
      </c>
      <c r="U533" s="71"/>
      <c r="V533" s="39">
        <f>SUM(V534:V541)</f>
        <v>23.099999999999998</v>
      </c>
      <c r="W533" s="72"/>
      <c r="X533" s="71"/>
      <c r="Y533" s="39">
        <f>SUM(Y534:Y541)</f>
        <v>21.7</v>
      </c>
      <c r="Z533" s="42"/>
      <c r="AA533" s="43"/>
      <c r="AB533" s="39">
        <f>SUM(AB534:AB541)</f>
        <v>27.7</v>
      </c>
    </row>
    <row r="534" spans="1:28" ht="13.5" customHeight="1">
      <c r="A534" s="27"/>
      <c r="B534" s="105"/>
      <c r="C534" s="44"/>
      <c r="D534" s="45"/>
      <c r="E534" s="46" t="s">
        <v>1376</v>
      </c>
      <c r="F534" s="47" t="s">
        <v>1375</v>
      </c>
      <c r="G534" s="48">
        <v>1</v>
      </c>
      <c r="H534" s="46" t="s">
        <v>1376</v>
      </c>
      <c r="I534" s="47" t="s">
        <v>1375</v>
      </c>
      <c r="J534" s="48">
        <v>1.7</v>
      </c>
      <c r="K534" s="46" t="s">
        <v>1376</v>
      </c>
      <c r="L534" s="47" t="s">
        <v>1375</v>
      </c>
      <c r="M534" s="48">
        <v>2.5</v>
      </c>
      <c r="N534" s="46" t="s">
        <v>1376</v>
      </c>
      <c r="O534" s="47" t="s">
        <v>1375</v>
      </c>
      <c r="P534" s="48">
        <v>2.2999999999999998</v>
      </c>
      <c r="Q534" s="46" t="s">
        <v>1376</v>
      </c>
      <c r="R534" s="47" t="s">
        <v>1375</v>
      </c>
      <c r="S534" s="48">
        <v>2.7</v>
      </c>
      <c r="T534" s="46" t="s">
        <v>1376</v>
      </c>
      <c r="U534" s="47" t="s">
        <v>1375</v>
      </c>
      <c r="V534" s="48">
        <v>3.4</v>
      </c>
      <c r="W534" s="46" t="s">
        <v>1377</v>
      </c>
      <c r="X534" s="47" t="s">
        <v>2708</v>
      </c>
      <c r="Y534" s="48">
        <v>4.5</v>
      </c>
      <c r="Z534" s="49" t="s">
        <v>1378</v>
      </c>
      <c r="AA534" s="50" t="s">
        <v>1375</v>
      </c>
      <c r="AB534" s="51">
        <v>5.3</v>
      </c>
    </row>
    <row r="535" spans="1:28" ht="13.5" customHeight="1">
      <c r="A535" s="27"/>
      <c r="B535" s="44"/>
      <c r="C535" s="36"/>
      <c r="D535" s="6"/>
      <c r="E535" s="46" t="s">
        <v>1380</v>
      </c>
      <c r="F535" s="47" t="s">
        <v>1379</v>
      </c>
      <c r="G535" s="48">
        <v>1</v>
      </c>
      <c r="H535" s="46" t="s">
        <v>1380</v>
      </c>
      <c r="I535" s="47" t="s">
        <v>1379</v>
      </c>
      <c r="J535" s="48">
        <v>2.2999999999999998</v>
      </c>
      <c r="K535" s="46" t="s">
        <v>1380</v>
      </c>
      <c r="L535" s="47" t="s">
        <v>1379</v>
      </c>
      <c r="M535" s="48">
        <v>3.3</v>
      </c>
      <c r="N535" s="46" t="s">
        <v>1380</v>
      </c>
      <c r="O535" s="47" t="s">
        <v>1379</v>
      </c>
      <c r="P535" s="48">
        <v>3.5</v>
      </c>
      <c r="Q535" s="46" t="s">
        <v>1380</v>
      </c>
      <c r="R535" s="47" t="s">
        <v>1379</v>
      </c>
      <c r="S535" s="48">
        <v>4</v>
      </c>
      <c r="T535" s="46" t="s">
        <v>1380</v>
      </c>
      <c r="U535" s="47" t="s">
        <v>1379</v>
      </c>
      <c r="V535" s="48">
        <v>6</v>
      </c>
      <c r="W535" s="46" t="s">
        <v>1381</v>
      </c>
      <c r="X535" s="47" t="s">
        <v>2709</v>
      </c>
      <c r="Y535" s="48">
        <v>5.0999999999999996</v>
      </c>
      <c r="Z535" s="49" t="s">
        <v>1382</v>
      </c>
      <c r="AA535" s="50" t="s">
        <v>1379</v>
      </c>
      <c r="AB535" s="51">
        <v>9.6</v>
      </c>
    </row>
    <row r="536" spans="1:28" ht="13.5" customHeight="1">
      <c r="A536" s="27"/>
      <c r="B536" s="44"/>
      <c r="C536" s="36"/>
      <c r="D536" s="6"/>
      <c r="E536" s="46" t="s">
        <v>1384</v>
      </c>
      <c r="F536" s="47" t="s">
        <v>1383</v>
      </c>
      <c r="G536" s="48">
        <v>3.2</v>
      </c>
      <c r="H536" s="46" t="s">
        <v>1384</v>
      </c>
      <c r="I536" s="47" t="s">
        <v>1383</v>
      </c>
      <c r="J536" s="48">
        <v>4.9000000000000004</v>
      </c>
      <c r="K536" s="46" t="s">
        <v>1384</v>
      </c>
      <c r="L536" s="47" t="s">
        <v>1383</v>
      </c>
      <c r="M536" s="48">
        <v>6.5</v>
      </c>
      <c r="N536" s="46" t="s">
        <v>1384</v>
      </c>
      <c r="O536" s="47" t="s">
        <v>1383</v>
      </c>
      <c r="P536" s="48">
        <v>5.0999999999999996</v>
      </c>
      <c r="Q536" s="46" t="s">
        <v>1384</v>
      </c>
      <c r="R536" s="47" t="s">
        <v>1383</v>
      </c>
      <c r="S536" s="48">
        <v>5.2</v>
      </c>
      <c r="T536" s="46" t="s">
        <v>1384</v>
      </c>
      <c r="U536" s="47" t="s">
        <v>1383</v>
      </c>
      <c r="V536" s="48">
        <v>5.0999999999999996</v>
      </c>
      <c r="W536" s="46" t="s">
        <v>1385</v>
      </c>
      <c r="X536" s="47" t="s">
        <v>2710</v>
      </c>
      <c r="Y536" s="48">
        <v>1.9</v>
      </c>
      <c r="Z536" s="49" t="s">
        <v>1386</v>
      </c>
      <c r="AA536" s="50" t="s">
        <v>1383</v>
      </c>
      <c r="AB536" s="51">
        <v>5.2</v>
      </c>
    </row>
    <row r="537" spans="1:28" ht="13.5" customHeight="1">
      <c r="A537" s="27"/>
      <c r="B537" s="44"/>
      <c r="C537" s="36"/>
      <c r="D537" s="6"/>
      <c r="E537" s="46" t="s">
        <v>1388</v>
      </c>
      <c r="F537" s="47" t="s">
        <v>1387</v>
      </c>
      <c r="G537" s="48">
        <v>0.6</v>
      </c>
      <c r="H537" s="46" t="s">
        <v>1388</v>
      </c>
      <c r="I537" s="47" t="s">
        <v>1387</v>
      </c>
      <c r="J537" s="48">
        <v>0.8</v>
      </c>
      <c r="K537" s="46" t="s">
        <v>1388</v>
      </c>
      <c r="L537" s="47" t="s">
        <v>1387</v>
      </c>
      <c r="M537" s="48">
        <v>1.2</v>
      </c>
      <c r="N537" s="46" t="s">
        <v>1388</v>
      </c>
      <c r="O537" s="47" t="s">
        <v>1387</v>
      </c>
      <c r="P537" s="48">
        <v>1.3</v>
      </c>
      <c r="Q537" s="46" t="s">
        <v>1388</v>
      </c>
      <c r="R537" s="47" t="s">
        <v>1387</v>
      </c>
      <c r="S537" s="48">
        <v>1.4</v>
      </c>
      <c r="T537" s="46" t="s">
        <v>1388</v>
      </c>
      <c r="U537" s="47" t="s">
        <v>1387</v>
      </c>
      <c r="V537" s="48">
        <v>1</v>
      </c>
      <c r="W537" s="46" t="s">
        <v>1389</v>
      </c>
      <c r="X537" s="47" t="s">
        <v>2711</v>
      </c>
      <c r="Y537" s="48">
        <v>0.8</v>
      </c>
      <c r="Z537" s="49" t="s">
        <v>1390</v>
      </c>
      <c r="AA537" s="50" t="s">
        <v>1387</v>
      </c>
      <c r="AB537" s="51">
        <v>1.5</v>
      </c>
    </row>
    <row r="538" spans="1:28" ht="13.5" customHeight="1">
      <c r="A538" s="27"/>
      <c r="B538" s="44"/>
      <c r="C538" s="36"/>
      <c r="D538" s="6"/>
      <c r="E538" s="46" t="s">
        <v>1392</v>
      </c>
      <c r="F538" s="47" t="s">
        <v>1391</v>
      </c>
      <c r="G538" s="48">
        <v>7.7</v>
      </c>
      <c r="H538" s="46" t="s">
        <v>1392</v>
      </c>
      <c r="I538" s="47" t="s">
        <v>1391</v>
      </c>
      <c r="J538" s="48">
        <v>10.199999999999999</v>
      </c>
      <c r="K538" s="46" t="s">
        <v>1392</v>
      </c>
      <c r="L538" s="47" t="s">
        <v>1391</v>
      </c>
      <c r="M538" s="48">
        <v>10.199999999999999</v>
      </c>
      <c r="N538" s="46" t="s">
        <v>1392</v>
      </c>
      <c r="O538" s="47" t="s">
        <v>1391</v>
      </c>
      <c r="P538" s="48">
        <v>8.9</v>
      </c>
      <c r="Q538" s="46" t="s">
        <v>1392</v>
      </c>
      <c r="R538" s="47" t="s">
        <v>1391</v>
      </c>
      <c r="S538" s="48">
        <v>5</v>
      </c>
      <c r="T538" s="46" t="s">
        <v>1392</v>
      </c>
      <c r="U538" s="47" t="s">
        <v>1391</v>
      </c>
      <c r="V538" s="48">
        <v>4.8</v>
      </c>
      <c r="W538" s="46" t="s">
        <v>1393</v>
      </c>
      <c r="X538" s="47" t="s">
        <v>2712</v>
      </c>
      <c r="Y538" s="48">
        <v>9</v>
      </c>
      <c r="Z538" s="49" t="s">
        <v>1394</v>
      </c>
      <c r="AA538" s="50" t="s">
        <v>1395</v>
      </c>
      <c r="AB538" s="51">
        <v>5.9</v>
      </c>
    </row>
    <row r="539" spans="1:28" ht="13.5" customHeight="1">
      <c r="A539" s="27"/>
      <c r="B539" s="44"/>
      <c r="C539" s="36"/>
      <c r="D539" s="6"/>
      <c r="E539" s="46" t="s">
        <v>3007</v>
      </c>
      <c r="F539" s="47" t="s">
        <v>1396</v>
      </c>
      <c r="G539" s="48">
        <v>0.5</v>
      </c>
      <c r="H539" s="46" t="s">
        <v>3007</v>
      </c>
      <c r="I539" s="47" t="s">
        <v>1396</v>
      </c>
      <c r="J539" s="48">
        <v>0.5</v>
      </c>
      <c r="K539" s="46" t="s">
        <v>1397</v>
      </c>
      <c r="L539" s="47" t="s">
        <v>1396</v>
      </c>
      <c r="M539" s="48">
        <v>0.3</v>
      </c>
      <c r="N539" s="46" t="s">
        <v>1397</v>
      </c>
      <c r="O539" s="47" t="s">
        <v>1396</v>
      </c>
      <c r="P539" s="48">
        <v>0.4</v>
      </c>
      <c r="Q539" s="46" t="s">
        <v>1397</v>
      </c>
      <c r="R539" s="47" t="s">
        <v>1396</v>
      </c>
      <c r="S539" s="48">
        <v>0.5</v>
      </c>
      <c r="T539" s="46" t="s">
        <v>1397</v>
      </c>
      <c r="U539" s="47" t="s">
        <v>1396</v>
      </c>
      <c r="V539" s="48">
        <v>0.4</v>
      </c>
      <c r="W539" s="46" t="s">
        <v>1398</v>
      </c>
      <c r="X539" s="47" t="s">
        <v>2713</v>
      </c>
      <c r="Y539" s="48">
        <v>0.4</v>
      </c>
      <c r="Z539" s="49" t="s">
        <v>1399</v>
      </c>
      <c r="AA539" s="50" t="s">
        <v>1396</v>
      </c>
      <c r="AB539" s="51">
        <v>0.2</v>
      </c>
    </row>
    <row r="540" spans="1:28" ht="13.5" customHeight="1">
      <c r="A540" s="27"/>
      <c r="B540" s="44"/>
      <c r="C540" s="36"/>
      <c r="D540" s="6"/>
      <c r="E540" s="46" t="s">
        <v>1401</v>
      </c>
      <c r="F540" s="47" t="s">
        <v>1400</v>
      </c>
      <c r="G540" s="48">
        <v>9.3000000000000007</v>
      </c>
      <c r="H540" s="46" t="s">
        <v>1401</v>
      </c>
      <c r="I540" s="47" t="s">
        <v>1400</v>
      </c>
      <c r="J540" s="48">
        <v>9.1999999999999993</v>
      </c>
      <c r="K540" s="46" t="s">
        <v>1401</v>
      </c>
      <c r="L540" s="47" t="s">
        <v>1400</v>
      </c>
      <c r="M540" s="48">
        <v>7.9</v>
      </c>
      <c r="N540" s="46" t="s">
        <v>1401</v>
      </c>
      <c r="O540" s="47" t="s">
        <v>1400</v>
      </c>
      <c r="P540" s="48">
        <v>7.7</v>
      </c>
      <c r="Q540" s="46" t="s">
        <v>1401</v>
      </c>
      <c r="R540" s="47" t="s">
        <v>1400</v>
      </c>
      <c r="S540" s="58">
        <v>3.3</v>
      </c>
      <c r="T540" s="46" t="s">
        <v>1401</v>
      </c>
      <c r="U540" s="47" t="s">
        <v>1400</v>
      </c>
      <c r="V540" s="58">
        <v>2.4</v>
      </c>
      <c r="W540" s="57"/>
      <c r="X540" s="56"/>
      <c r="Y540" s="58"/>
      <c r="Z540" s="59"/>
      <c r="AA540" s="60"/>
      <c r="AB540" s="61"/>
    </row>
    <row r="541" spans="1:28" ht="13.5" customHeight="1">
      <c r="A541" s="27"/>
      <c r="B541" s="161"/>
      <c r="C541" s="82"/>
      <c r="D541" s="83"/>
      <c r="E541" s="46" t="s">
        <v>1397</v>
      </c>
      <c r="F541" s="47" t="s">
        <v>3008</v>
      </c>
      <c r="G541" s="48">
        <v>5.0999999999999996</v>
      </c>
      <c r="H541" s="46" t="s">
        <v>1397</v>
      </c>
      <c r="I541" s="47" t="s">
        <v>3008</v>
      </c>
      <c r="J541" s="48">
        <v>2.9</v>
      </c>
      <c r="K541" s="46"/>
      <c r="L541" s="47"/>
      <c r="M541" s="48"/>
      <c r="N541" s="46"/>
      <c r="O541" s="47"/>
      <c r="P541" s="48"/>
      <c r="Q541" s="46"/>
      <c r="R541" s="47"/>
      <c r="S541" s="77"/>
      <c r="T541" s="46"/>
      <c r="U541" s="47"/>
      <c r="V541" s="77"/>
      <c r="W541" s="76"/>
      <c r="X541" s="115"/>
      <c r="Y541" s="77"/>
      <c r="Z541" s="78"/>
      <c r="AA541" s="79"/>
      <c r="AB541" s="80"/>
    </row>
    <row r="542" spans="1:28" ht="13.5" customHeight="1">
      <c r="A542" s="27"/>
      <c r="B542" s="36" t="s">
        <v>1402</v>
      </c>
      <c r="C542" s="21"/>
      <c r="D542" s="6" t="s">
        <v>1403</v>
      </c>
      <c r="E542" s="31" t="s">
        <v>1404</v>
      </c>
      <c r="F542" s="182"/>
      <c r="G542" s="33">
        <f>G543+G547+G555</f>
        <v>60.3</v>
      </c>
      <c r="H542" s="31" t="s">
        <v>1404</v>
      </c>
      <c r="I542" s="182"/>
      <c r="J542" s="33">
        <f>J543+J547+J555</f>
        <v>52.8</v>
      </c>
      <c r="K542" s="31" t="s">
        <v>1404</v>
      </c>
      <c r="L542" s="182"/>
      <c r="M542" s="33">
        <f>M543+M547+M555</f>
        <v>53.8</v>
      </c>
      <c r="N542" s="31" t="s">
        <v>1404</v>
      </c>
      <c r="O542" s="182"/>
      <c r="P542" s="33">
        <f>P543+P547+P555</f>
        <v>56.2</v>
      </c>
      <c r="Q542" s="31" t="s">
        <v>1404</v>
      </c>
      <c r="R542" s="182"/>
      <c r="S542" s="33">
        <f>S543+S547+S555</f>
        <v>64.3</v>
      </c>
      <c r="T542" s="31" t="s">
        <v>1404</v>
      </c>
      <c r="U542" s="182"/>
      <c r="V542" s="33">
        <f>V543+V547+V555</f>
        <v>61.400000000000006</v>
      </c>
      <c r="W542" s="183"/>
      <c r="X542" s="182"/>
      <c r="Y542" s="33">
        <f>Y543+Y547+Y555</f>
        <v>57.4</v>
      </c>
      <c r="Z542" s="120"/>
      <c r="AA542" s="66"/>
      <c r="AB542" s="33">
        <f>AB543+AB547+AB555</f>
        <v>49.500000000000007</v>
      </c>
    </row>
    <row r="543" spans="1:28" ht="13.5" customHeight="1">
      <c r="A543" s="27"/>
      <c r="B543" s="36"/>
      <c r="C543" s="28" t="s">
        <v>1405</v>
      </c>
      <c r="D543" s="30" t="s">
        <v>1406</v>
      </c>
      <c r="E543" s="37" t="s">
        <v>1407</v>
      </c>
      <c r="F543" s="43"/>
      <c r="G543" s="184">
        <f>SUM(G544:G546)</f>
        <v>43.2</v>
      </c>
      <c r="H543" s="37" t="s">
        <v>1407</v>
      </c>
      <c r="I543" s="43"/>
      <c r="J543" s="184">
        <f>SUM(J544:J546)</f>
        <v>36.299999999999997</v>
      </c>
      <c r="K543" s="37" t="s">
        <v>1407</v>
      </c>
      <c r="L543" s="43"/>
      <c r="M543" s="184">
        <f>SUM(M544:M546)</f>
        <v>40.5</v>
      </c>
      <c r="N543" s="37" t="s">
        <v>1407</v>
      </c>
      <c r="O543" s="43"/>
      <c r="P543" s="184">
        <f>SUM(P544:P546)</f>
        <v>43.900000000000006</v>
      </c>
      <c r="Q543" s="37" t="s">
        <v>1407</v>
      </c>
      <c r="R543" s="43"/>
      <c r="S543" s="184">
        <f>SUM(S544:S546)</f>
        <v>52.2</v>
      </c>
      <c r="T543" s="37" t="s">
        <v>1407</v>
      </c>
      <c r="U543" s="43"/>
      <c r="V543" s="184">
        <f>SUM(V544:V546)</f>
        <v>48.800000000000004</v>
      </c>
      <c r="W543" s="42"/>
      <c r="X543" s="43"/>
      <c r="Y543" s="184">
        <f>SUM(Y544:Y546)</f>
        <v>47</v>
      </c>
      <c r="Z543" s="42"/>
      <c r="AA543" s="43"/>
      <c r="AB543" s="184">
        <f>SUM(AB544:AB546)</f>
        <v>43.6</v>
      </c>
    </row>
    <row r="544" spans="1:28" ht="13.5" customHeight="1">
      <c r="A544" s="27"/>
      <c r="B544" s="44"/>
      <c r="C544" s="44"/>
      <c r="D544" s="45"/>
      <c r="E544" s="46" t="s">
        <v>1409</v>
      </c>
      <c r="F544" s="47" t="s">
        <v>1408</v>
      </c>
      <c r="G544" s="48">
        <v>24.1</v>
      </c>
      <c r="H544" s="46" t="s">
        <v>1409</v>
      </c>
      <c r="I544" s="47" t="s">
        <v>1408</v>
      </c>
      <c r="J544" s="48">
        <v>20.8</v>
      </c>
      <c r="K544" s="46" t="s">
        <v>1409</v>
      </c>
      <c r="L544" s="47" t="s">
        <v>1408</v>
      </c>
      <c r="M544" s="48">
        <v>23.4</v>
      </c>
      <c r="N544" s="46" t="s">
        <v>1409</v>
      </c>
      <c r="O544" s="47" t="s">
        <v>1408</v>
      </c>
      <c r="P544" s="48">
        <v>25.1</v>
      </c>
      <c r="Q544" s="46" t="s">
        <v>1409</v>
      </c>
      <c r="R544" s="47" t="s">
        <v>1408</v>
      </c>
      <c r="S544" s="48">
        <v>31.2</v>
      </c>
      <c r="T544" s="46" t="s">
        <v>1409</v>
      </c>
      <c r="U544" s="47" t="s">
        <v>1408</v>
      </c>
      <c r="V544" s="48">
        <v>28.7</v>
      </c>
      <c r="W544" s="46" t="s">
        <v>1410</v>
      </c>
      <c r="X544" s="47" t="s">
        <v>2714</v>
      </c>
      <c r="Y544" s="48">
        <v>31.2</v>
      </c>
      <c r="Z544" s="49" t="s">
        <v>1411</v>
      </c>
      <c r="AA544" s="50" t="s">
        <v>1408</v>
      </c>
      <c r="AB544" s="51">
        <v>41.4</v>
      </c>
    </row>
    <row r="545" spans="1:28" ht="13.5" customHeight="1">
      <c r="A545" s="27"/>
      <c r="B545" s="44"/>
      <c r="C545" s="36"/>
      <c r="D545" s="6"/>
      <c r="E545" s="46" t="s">
        <v>1413</v>
      </c>
      <c r="F545" s="47" t="s">
        <v>1412</v>
      </c>
      <c r="G545" s="48">
        <v>16.3</v>
      </c>
      <c r="H545" s="46" t="s">
        <v>1413</v>
      </c>
      <c r="I545" s="47" t="s">
        <v>1412</v>
      </c>
      <c r="J545" s="48">
        <v>13</v>
      </c>
      <c r="K545" s="46" t="s">
        <v>1413</v>
      </c>
      <c r="L545" s="47" t="s">
        <v>1412</v>
      </c>
      <c r="M545" s="48">
        <v>13.8</v>
      </c>
      <c r="N545" s="46" t="s">
        <v>1413</v>
      </c>
      <c r="O545" s="47" t="s">
        <v>1412</v>
      </c>
      <c r="P545" s="48">
        <v>14.8</v>
      </c>
      <c r="Q545" s="46" t="s">
        <v>1413</v>
      </c>
      <c r="R545" s="47" t="s">
        <v>1412</v>
      </c>
      <c r="S545" s="48">
        <v>14.5</v>
      </c>
      <c r="T545" s="46" t="s">
        <v>1413</v>
      </c>
      <c r="U545" s="47" t="s">
        <v>1412</v>
      </c>
      <c r="V545" s="48">
        <v>13.5</v>
      </c>
      <c r="W545" s="46" t="s">
        <v>1414</v>
      </c>
      <c r="X545" s="47" t="s">
        <v>2715</v>
      </c>
      <c r="Y545" s="48">
        <v>10.9</v>
      </c>
      <c r="Z545" s="49" t="s">
        <v>1415</v>
      </c>
      <c r="AA545" s="50" t="s">
        <v>1412</v>
      </c>
      <c r="AB545" s="51">
        <v>1.5</v>
      </c>
    </row>
    <row r="546" spans="1:28" ht="13.5" customHeight="1">
      <c r="A546" s="27"/>
      <c r="B546" s="44"/>
      <c r="C546" s="36"/>
      <c r="D546" s="6"/>
      <c r="E546" s="46" t="s">
        <v>1416</v>
      </c>
      <c r="F546" s="75" t="s">
        <v>2716</v>
      </c>
      <c r="G546" s="48">
        <v>2.8</v>
      </c>
      <c r="H546" s="46" t="s">
        <v>1416</v>
      </c>
      <c r="I546" s="75" t="s">
        <v>2716</v>
      </c>
      <c r="J546" s="48">
        <v>2.5</v>
      </c>
      <c r="K546" s="46" t="s">
        <v>1416</v>
      </c>
      <c r="L546" s="75" t="s">
        <v>2716</v>
      </c>
      <c r="M546" s="48">
        <v>3.3</v>
      </c>
      <c r="N546" s="46" t="s">
        <v>1416</v>
      </c>
      <c r="O546" s="75" t="s">
        <v>2716</v>
      </c>
      <c r="P546" s="48">
        <v>4</v>
      </c>
      <c r="Q546" s="76" t="s">
        <v>1416</v>
      </c>
      <c r="R546" s="75" t="s">
        <v>1417</v>
      </c>
      <c r="S546" s="77">
        <v>6.5</v>
      </c>
      <c r="T546" s="76" t="s">
        <v>1416</v>
      </c>
      <c r="U546" s="75" t="s">
        <v>1417</v>
      </c>
      <c r="V546" s="77">
        <v>6.6</v>
      </c>
      <c r="W546" s="76" t="s">
        <v>1418</v>
      </c>
      <c r="X546" s="75" t="s">
        <v>2717</v>
      </c>
      <c r="Y546" s="77">
        <v>4.9000000000000004</v>
      </c>
      <c r="Z546" s="78" t="s">
        <v>1419</v>
      </c>
      <c r="AA546" s="79" t="s">
        <v>1417</v>
      </c>
      <c r="AB546" s="80">
        <v>0.7</v>
      </c>
    </row>
    <row r="547" spans="1:28" ht="13.5" customHeight="1">
      <c r="A547" s="27"/>
      <c r="B547" s="44"/>
      <c r="C547" s="28" t="s">
        <v>1420</v>
      </c>
      <c r="D547" s="30" t="s">
        <v>1421</v>
      </c>
      <c r="E547" s="37" t="s">
        <v>1422</v>
      </c>
      <c r="F547" s="71"/>
      <c r="G547" s="39">
        <f>SUM(G548:G554)</f>
        <v>9.7999999999999989</v>
      </c>
      <c r="H547" s="37" t="s">
        <v>1422</v>
      </c>
      <c r="I547" s="71"/>
      <c r="J547" s="39">
        <f>SUM(J548:J554)</f>
        <v>10.1</v>
      </c>
      <c r="K547" s="37" t="s">
        <v>1422</v>
      </c>
      <c r="L547" s="71"/>
      <c r="M547" s="39">
        <f>SUM(M548:M554)</f>
        <v>8.4</v>
      </c>
      <c r="N547" s="37" t="s">
        <v>1422</v>
      </c>
      <c r="O547" s="71"/>
      <c r="P547" s="39">
        <f>SUM(P548:P554)</f>
        <v>7.5</v>
      </c>
      <c r="Q547" s="37" t="s">
        <v>1422</v>
      </c>
      <c r="R547" s="71"/>
      <c r="S547" s="39">
        <f>SUM(S548:S554)</f>
        <v>7.2999999999999989</v>
      </c>
      <c r="T547" s="37" t="s">
        <v>1422</v>
      </c>
      <c r="U547" s="71"/>
      <c r="V547" s="39">
        <f>SUM(V548:V554)</f>
        <v>7.1</v>
      </c>
      <c r="W547" s="72"/>
      <c r="X547" s="71"/>
      <c r="Y547" s="39">
        <f>SUM(Y548:Y554)</f>
        <v>6.5000000000000009</v>
      </c>
      <c r="Z547" s="42"/>
      <c r="AA547" s="43"/>
      <c r="AB547" s="39">
        <f>SUM(AB548:AB554)</f>
        <v>2.7</v>
      </c>
    </row>
    <row r="548" spans="1:28" ht="13.5" customHeight="1">
      <c r="A548" s="27"/>
      <c r="B548" s="144"/>
      <c r="C548" s="21"/>
      <c r="D548" s="45"/>
      <c r="E548" s="46"/>
      <c r="F548" s="53"/>
      <c r="G548" s="48"/>
      <c r="H548" s="46"/>
      <c r="I548" s="53"/>
      <c r="J548" s="48"/>
      <c r="K548" s="46"/>
      <c r="L548" s="53"/>
      <c r="M548" s="48"/>
      <c r="N548" s="46"/>
      <c r="O548" s="53"/>
      <c r="P548" s="48"/>
      <c r="Q548" s="52"/>
      <c r="R548" s="53"/>
      <c r="S548" s="54"/>
      <c r="T548" s="52"/>
      <c r="U548" s="53"/>
      <c r="V548" s="54"/>
      <c r="W548" s="52"/>
      <c r="X548" s="53"/>
      <c r="Y548" s="54"/>
      <c r="Z548" s="52"/>
      <c r="AA548" s="53"/>
      <c r="AB548" s="54"/>
    </row>
    <row r="549" spans="1:28" ht="13.5" customHeight="1">
      <c r="A549" s="27"/>
      <c r="B549" s="36"/>
      <c r="C549" s="36"/>
      <c r="D549" s="6"/>
      <c r="E549" s="46" t="s">
        <v>1432</v>
      </c>
      <c r="F549" s="47" t="s">
        <v>1423</v>
      </c>
      <c r="G549" s="48">
        <v>6.3</v>
      </c>
      <c r="H549" s="46" t="s">
        <v>1432</v>
      </c>
      <c r="I549" s="47" t="s">
        <v>1423</v>
      </c>
      <c r="J549" s="48">
        <v>7</v>
      </c>
      <c r="K549" s="46" t="s">
        <v>1424</v>
      </c>
      <c r="L549" s="47" t="s">
        <v>1423</v>
      </c>
      <c r="M549" s="48">
        <v>5.7</v>
      </c>
      <c r="N549" s="46" t="s">
        <v>1424</v>
      </c>
      <c r="O549" s="47" t="s">
        <v>1423</v>
      </c>
      <c r="P549" s="48">
        <v>5.2</v>
      </c>
      <c r="Q549" s="46" t="s">
        <v>1424</v>
      </c>
      <c r="R549" s="47" t="s">
        <v>1423</v>
      </c>
      <c r="S549" s="48">
        <v>5.0999999999999996</v>
      </c>
      <c r="T549" s="46" t="s">
        <v>1424</v>
      </c>
      <c r="U549" s="47" t="s">
        <v>1423</v>
      </c>
      <c r="V549" s="48">
        <v>4.5999999999999996</v>
      </c>
      <c r="W549" s="46" t="s">
        <v>1425</v>
      </c>
      <c r="X549" s="47" t="s">
        <v>2718</v>
      </c>
      <c r="Y549" s="48">
        <v>4.2</v>
      </c>
      <c r="Z549" s="49"/>
      <c r="AA549" s="50"/>
      <c r="AB549" s="51"/>
    </row>
    <row r="550" spans="1:28" ht="13.5" customHeight="1">
      <c r="A550" s="27"/>
      <c r="B550" s="44"/>
      <c r="C550" s="36"/>
      <c r="D550" s="6"/>
      <c r="E550" s="46" t="s">
        <v>1424</v>
      </c>
      <c r="F550" s="47" t="s">
        <v>1426</v>
      </c>
      <c r="G550" s="48">
        <v>0.9</v>
      </c>
      <c r="H550" s="46" t="s">
        <v>1424</v>
      </c>
      <c r="I550" s="47" t="s">
        <v>1426</v>
      </c>
      <c r="J550" s="48">
        <v>0.8</v>
      </c>
      <c r="K550" s="46" t="s">
        <v>1427</v>
      </c>
      <c r="L550" s="47" t="s">
        <v>1426</v>
      </c>
      <c r="M550" s="48">
        <v>0.6</v>
      </c>
      <c r="N550" s="46" t="s">
        <v>1427</v>
      </c>
      <c r="O550" s="47" t="s">
        <v>1426</v>
      </c>
      <c r="P550" s="48">
        <v>0.6</v>
      </c>
      <c r="Q550" s="46" t="s">
        <v>1427</v>
      </c>
      <c r="R550" s="47" t="s">
        <v>1426</v>
      </c>
      <c r="S550" s="48">
        <v>1</v>
      </c>
      <c r="T550" s="46" t="s">
        <v>1427</v>
      </c>
      <c r="U550" s="47" t="s">
        <v>1426</v>
      </c>
      <c r="V550" s="48">
        <v>1.3</v>
      </c>
      <c r="W550" s="46" t="s">
        <v>1428</v>
      </c>
      <c r="X550" s="47" t="s">
        <v>2719</v>
      </c>
      <c r="Y550" s="48">
        <v>0.9</v>
      </c>
      <c r="Z550" s="49" t="s">
        <v>1429</v>
      </c>
      <c r="AA550" s="50" t="s">
        <v>1430</v>
      </c>
      <c r="AB550" s="51">
        <v>0.8</v>
      </c>
    </row>
    <row r="551" spans="1:28" ht="13.5" customHeight="1">
      <c r="A551" s="27"/>
      <c r="B551" s="44"/>
      <c r="C551" s="36"/>
      <c r="D551" s="6"/>
      <c r="E551" s="46" t="s">
        <v>1436</v>
      </c>
      <c r="F551" s="47" t="s">
        <v>1431</v>
      </c>
      <c r="G551" s="48">
        <v>1</v>
      </c>
      <c r="H551" s="46" t="s">
        <v>1436</v>
      </c>
      <c r="I551" s="47" t="s">
        <v>1431</v>
      </c>
      <c r="J551" s="48">
        <v>0.8</v>
      </c>
      <c r="K551" s="46" t="s">
        <v>1432</v>
      </c>
      <c r="L551" s="47" t="s">
        <v>1431</v>
      </c>
      <c r="M551" s="48">
        <v>0.6</v>
      </c>
      <c r="N551" s="46" t="s">
        <v>1432</v>
      </c>
      <c r="O551" s="47" t="s">
        <v>1431</v>
      </c>
      <c r="P551" s="48">
        <v>0.6</v>
      </c>
      <c r="Q551" s="46" t="s">
        <v>1432</v>
      </c>
      <c r="R551" s="47" t="s">
        <v>1431</v>
      </c>
      <c r="S551" s="48">
        <v>0.6</v>
      </c>
      <c r="T551" s="46" t="s">
        <v>1432</v>
      </c>
      <c r="U551" s="47" t="s">
        <v>1431</v>
      </c>
      <c r="V551" s="48">
        <v>0.5</v>
      </c>
      <c r="W551" s="46" t="s">
        <v>1433</v>
      </c>
      <c r="X551" s="47" t="s">
        <v>2720</v>
      </c>
      <c r="Y551" s="48">
        <v>1.1000000000000001</v>
      </c>
      <c r="Z551" s="49" t="s">
        <v>1434</v>
      </c>
      <c r="AA551" s="50" t="s">
        <v>1431</v>
      </c>
      <c r="AB551" s="51">
        <v>0.9</v>
      </c>
    </row>
    <row r="552" spans="1:28" ht="13.5" customHeight="1">
      <c r="A552" s="27"/>
      <c r="B552" s="44"/>
      <c r="C552" s="36"/>
      <c r="D552" s="6"/>
      <c r="E552" s="46" t="s">
        <v>3005</v>
      </c>
      <c r="F552" s="47" t="s">
        <v>1435</v>
      </c>
      <c r="G552" s="48">
        <v>0.5</v>
      </c>
      <c r="H552" s="46" t="s">
        <v>3005</v>
      </c>
      <c r="I552" s="47" t="s">
        <v>1435</v>
      </c>
      <c r="J552" s="48">
        <v>0.5</v>
      </c>
      <c r="K552" s="46" t="s">
        <v>1436</v>
      </c>
      <c r="L552" s="47" t="s">
        <v>1435</v>
      </c>
      <c r="M552" s="48">
        <v>0.4</v>
      </c>
      <c r="N552" s="46" t="s">
        <v>1436</v>
      </c>
      <c r="O552" s="47" t="s">
        <v>1435</v>
      </c>
      <c r="P552" s="48">
        <v>0.4</v>
      </c>
      <c r="Q552" s="46" t="s">
        <v>1436</v>
      </c>
      <c r="R552" s="47" t="s">
        <v>1435</v>
      </c>
      <c r="S552" s="48">
        <v>0.3</v>
      </c>
      <c r="T552" s="46" t="s">
        <v>1436</v>
      </c>
      <c r="U552" s="47" t="s">
        <v>1435</v>
      </c>
      <c r="V552" s="48">
        <v>0.3</v>
      </c>
      <c r="W552" s="46" t="s">
        <v>1437</v>
      </c>
      <c r="X552" s="47" t="s">
        <v>2721</v>
      </c>
      <c r="Y552" s="48">
        <v>0.3</v>
      </c>
      <c r="Z552" s="49" t="s">
        <v>1438</v>
      </c>
      <c r="AA552" s="50" t="s">
        <v>1439</v>
      </c>
      <c r="AB552" s="51">
        <v>1</v>
      </c>
    </row>
    <row r="553" spans="1:28" ht="13.5" customHeight="1">
      <c r="A553" s="27"/>
      <c r="B553" s="44"/>
      <c r="C553" s="36"/>
      <c r="D553" s="6"/>
      <c r="E553" s="46" t="s">
        <v>1441</v>
      </c>
      <c r="F553" s="47" t="s">
        <v>1440</v>
      </c>
      <c r="G553" s="48">
        <v>0.9</v>
      </c>
      <c r="H553" s="46" t="s">
        <v>1441</v>
      </c>
      <c r="I553" s="47" t="s">
        <v>1440</v>
      </c>
      <c r="J553" s="48">
        <v>0.8</v>
      </c>
      <c r="K553" s="46" t="s">
        <v>1441</v>
      </c>
      <c r="L553" s="47" t="s">
        <v>1440</v>
      </c>
      <c r="M553" s="48">
        <v>1.1000000000000001</v>
      </c>
      <c r="N553" s="46" t="s">
        <v>1441</v>
      </c>
      <c r="O553" s="47" t="s">
        <v>1440</v>
      </c>
      <c r="P553" s="48">
        <v>0.7</v>
      </c>
      <c r="Q553" s="46" t="s">
        <v>1441</v>
      </c>
      <c r="R553" s="47" t="s">
        <v>1440</v>
      </c>
      <c r="S553" s="58">
        <v>0.3</v>
      </c>
      <c r="T553" s="46" t="s">
        <v>1441</v>
      </c>
      <c r="U553" s="47" t="s">
        <v>1440</v>
      </c>
      <c r="V553" s="58">
        <v>0.4</v>
      </c>
      <c r="W553" s="57"/>
      <c r="X553" s="56"/>
      <c r="Y553" s="58"/>
      <c r="Z553" s="59"/>
      <c r="AA553" s="60"/>
      <c r="AB553" s="61"/>
    </row>
    <row r="554" spans="1:28" ht="13.5" customHeight="1">
      <c r="A554" s="27"/>
      <c r="B554" s="44"/>
      <c r="C554" s="82"/>
      <c r="D554" s="83"/>
      <c r="E554" s="46" t="s">
        <v>1427</v>
      </c>
      <c r="F554" s="47" t="s">
        <v>3006</v>
      </c>
      <c r="G554" s="48">
        <v>0.2</v>
      </c>
      <c r="H554" s="46" t="s">
        <v>1427</v>
      </c>
      <c r="I554" s="47" t="s">
        <v>3006</v>
      </c>
      <c r="J554" s="48">
        <v>0.2</v>
      </c>
      <c r="K554" s="46"/>
      <c r="L554" s="47"/>
      <c r="M554" s="48"/>
      <c r="N554" s="46"/>
      <c r="O554" s="47"/>
      <c r="P554" s="48"/>
      <c r="Q554" s="46"/>
      <c r="R554" s="47"/>
      <c r="S554" s="77"/>
      <c r="T554" s="46"/>
      <c r="U554" s="47"/>
      <c r="V554" s="77"/>
      <c r="W554" s="76"/>
      <c r="X554" s="75"/>
      <c r="Y554" s="77"/>
      <c r="Z554" s="78"/>
      <c r="AA554" s="79"/>
      <c r="AB554" s="80"/>
    </row>
    <row r="555" spans="1:28" ht="13.5" customHeight="1">
      <c r="A555" s="27"/>
      <c r="B555" s="44"/>
      <c r="C555" s="28" t="s">
        <v>1442</v>
      </c>
      <c r="D555" s="30" t="s">
        <v>1443</v>
      </c>
      <c r="E555" s="37" t="s">
        <v>1444</v>
      </c>
      <c r="F555" s="71"/>
      <c r="G555" s="39">
        <f>SUM(G556:G561)</f>
        <v>7.3</v>
      </c>
      <c r="H555" s="37" t="s">
        <v>1444</v>
      </c>
      <c r="I555" s="71"/>
      <c r="J555" s="39">
        <f>SUM(J556:J561)</f>
        <v>6.4</v>
      </c>
      <c r="K555" s="37" t="s">
        <v>1444</v>
      </c>
      <c r="L555" s="71"/>
      <c r="M555" s="39">
        <f>SUM(M556:M561)</f>
        <v>4.9000000000000004</v>
      </c>
      <c r="N555" s="37" t="s">
        <v>1444</v>
      </c>
      <c r="O555" s="71"/>
      <c r="P555" s="39">
        <f>SUM(P556:P561)</f>
        <v>4.8</v>
      </c>
      <c r="Q555" s="37" t="s">
        <v>1444</v>
      </c>
      <c r="R555" s="71"/>
      <c r="S555" s="39">
        <f>SUM(S556:S561)</f>
        <v>4.8000000000000007</v>
      </c>
      <c r="T555" s="37" t="s">
        <v>1444</v>
      </c>
      <c r="U555" s="71"/>
      <c r="V555" s="39">
        <f>SUM(V556:V561)</f>
        <v>5.5</v>
      </c>
      <c r="W555" s="72"/>
      <c r="X555" s="71"/>
      <c r="Y555" s="39">
        <f>SUM(Y556:Y561)</f>
        <v>3.9</v>
      </c>
      <c r="Z555" s="42"/>
      <c r="AA555" s="43"/>
      <c r="AB555" s="39">
        <f>SUM(AB556:AB561)</f>
        <v>3.2</v>
      </c>
    </row>
    <row r="556" spans="1:28" ht="13.5" customHeight="1">
      <c r="A556" s="27"/>
      <c r="B556" s="44"/>
      <c r="C556" s="44"/>
      <c r="D556" s="45"/>
      <c r="E556" s="46" t="s">
        <v>1446</v>
      </c>
      <c r="F556" s="47" t="s">
        <v>1445</v>
      </c>
      <c r="G556" s="48">
        <v>0.5</v>
      </c>
      <c r="H556" s="46" t="s">
        <v>1446</v>
      </c>
      <c r="I556" s="47" t="s">
        <v>1445</v>
      </c>
      <c r="J556" s="48">
        <v>0.6</v>
      </c>
      <c r="K556" s="46" t="s">
        <v>1446</v>
      </c>
      <c r="L556" s="47" t="s">
        <v>1445</v>
      </c>
      <c r="M556" s="48">
        <v>0.4</v>
      </c>
      <c r="N556" s="46" t="s">
        <v>1446</v>
      </c>
      <c r="O556" s="47" t="s">
        <v>1445</v>
      </c>
      <c r="P556" s="48">
        <v>0.5</v>
      </c>
      <c r="Q556" s="46" t="s">
        <v>1446</v>
      </c>
      <c r="R556" s="47" t="s">
        <v>1445</v>
      </c>
      <c r="S556" s="48">
        <v>0.7</v>
      </c>
      <c r="T556" s="46" t="s">
        <v>1446</v>
      </c>
      <c r="U556" s="47" t="s">
        <v>1445</v>
      </c>
      <c r="V556" s="48">
        <v>0.9</v>
      </c>
      <c r="W556" s="46" t="s">
        <v>1447</v>
      </c>
      <c r="X556" s="47" t="s">
        <v>2722</v>
      </c>
      <c r="Y556" s="48">
        <v>1</v>
      </c>
      <c r="Z556" s="49" t="s">
        <v>1448</v>
      </c>
      <c r="AA556" s="50" t="s">
        <v>1445</v>
      </c>
      <c r="AB556" s="51">
        <v>0.8</v>
      </c>
    </row>
    <row r="557" spans="1:28" ht="13.5" customHeight="1">
      <c r="A557" s="27"/>
      <c r="B557" s="44"/>
      <c r="C557" s="44"/>
      <c r="D557" s="6"/>
      <c r="E557" s="46" t="s">
        <v>1450</v>
      </c>
      <c r="F557" s="47" t="s">
        <v>1449</v>
      </c>
      <c r="G557" s="48">
        <v>1.2</v>
      </c>
      <c r="H557" s="46" t="s">
        <v>1450</v>
      </c>
      <c r="I557" s="47" t="s">
        <v>1449</v>
      </c>
      <c r="J557" s="48">
        <v>1.1000000000000001</v>
      </c>
      <c r="K557" s="46" t="s">
        <v>1450</v>
      </c>
      <c r="L557" s="47" t="s">
        <v>1449</v>
      </c>
      <c r="M557" s="48">
        <v>0.7</v>
      </c>
      <c r="N557" s="46" t="s">
        <v>1450</v>
      </c>
      <c r="O557" s="47" t="s">
        <v>1449</v>
      </c>
      <c r="P557" s="48">
        <v>0.5</v>
      </c>
      <c r="Q557" s="46" t="s">
        <v>1450</v>
      </c>
      <c r="R557" s="47" t="s">
        <v>1449</v>
      </c>
      <c r="S557" s="48">
        <v>0.7</v>
      </c>
      <c r="T557" s="46" t="s">
        <v>1450</v>
      </c>
      <c r="U557" s="47" t="s">
        <v>1449</v>
      </c>
      <c r="V557" s="48">
        <v>0.8</v>
      </c>
      <c r="W557" s="46" t="s">
        <v>1451</v>
      </c>
      <c r="X557" s="47" t="s">
        <v>2723</v>
      </c>
      <c r="Y557" s="48">
        <v>0.9</v>
      </c>
      <c r="Z557" s="49" t="s">
        <v>1452</v>
      </c>
      <c r="AA557" s="50" t="s">
        <v>1453</v>
      </c>
      <c r="AB557" s="51">
        <v>1</v>
      </c>
    </row>
    <row r="558" spans="1:28" ht="13.5" customHeight="1">
      <c r="A558" s="27"/>
      <c r="B558" s="44"/>
      <c r="C558" s="36"/>
      <c r="D558" s="6"/>
      <c r="E558" s="46" t="s">
        <v>1455</v>
      </c>
      <c r="F558" s="47" t="s">
        <v>1454</v>
      </c>
      <c r="G558" s="48">
        <v>1.7</v>
      </c>
      <c r="H558" s="46" t="s">
        <v>1455</v>
      </c>
      <c r="I558" s="47" t="s">
        <v>1454</v>
      </c>
      <c r="J558" s="48">
        <v>1.7</v>
      </c>
      <c r="K558" s="46" t="s">
        <v>1455</v>
      </c>
      <c r="L558" s="47" t="s">
        <v>1454</v>
      </c>
      <c r="M558" s="48">
        <v>1.8</v>
      </c>
      <c r="N558" s="46" t="s">
        <v>1455</v>
      </c>
      <c r="O558" s="47" t="s">
        <v>1454</v>
      </c>
      <c r="P558" s="48">
        <v>1.4</v>
      </c>
      <c r="Q558" s="46" t="s">
        <v>1455</v>
      </c>
      <c r="R558" s="47" t="s">
        <v>1454</v>
      </c>
      <c r="S558" s="48">
        <v>1.3</v>
      </c>
      <c r="T558" s="46" t="s">
        <v>1455</v>
      </c>
      <c r="U558" s="47" t="s">
        <v>1454</v>
      </c>
      <c r="V558" s="48">
        <v>1.4</v>
      </c>
      <c r="W558" s="46" t="s">
        <v>1456</v>
      </c>
      <c r="X558" s="47" t="s">
        <v>2724</v>
      </c>
      <c r="Y558" s="48">
        <v>1.4</v>
      </c>
      <c r="Z558" s="49" t="s">
        <v>1457</v>
      </c>
      <c r="AA558" s="50" t="s">
        <v>1458</v>
      </c>
      <c r="AB558" s="51">
        <v>1</v>
      </c>
    </row>
    <row r="559" spans="1:28" ht="13.5" customHeight="1">
      <c r="A559" s="27"/>
      <c r="B559" s="44"/>
      <c r="C559" s="36"/>
      <c r="D559" s="6"/>
      <c r="E559" s="46" t="s">
        <v>1460</v>
      </c>
      <c r="F559" s="47" t="s">
        <v>1459</v>
      </c>
      <c r="G559" s="48">
        <v>3.2</v>
      </c>
      <c r="H559" s="46" t="s">
        <v>1460</v>
      </c>
      <c r="I559" s="47" t="s">
        <v>1459</v>
      </c>
      <c r="J559" s="48">
        <v>2.2999999999999998</v>
      </c>
      <c r="K559" s="46" t="s">
        <v>1460</v>
      </c>
      <c r="L559" s="47" t="s">
        <v>1459</v>
      </c>
      <c r="M559" s="48">
        <v>1.2</v>
      </c>
      <c r="N559" s="46" t="s">
        <v>1460</v>
      </c>
      <c r="O559" s="47" t="s">
        <v>1459</v>
      </c>
      <c r="P559" s="48">
        <v>1.4</v>
      </c>
      <c r="Q559" s="46" t="s">
        <v>1460</v>
      </c>
      <c r="R559" s="47" t="s">
        <v>1459</v>
      </c>
      <c r="S559" s="48">
        <v>0.7</v>
      </c>
      <c r="T559" s="46" t="s">
        <v>1460</v>
      </c>
      <c r="U559" s="47" t="s">
        <v>1459</v>
      </c>
      <c r="V559" s="48">
        <v>0.8</v>
      </c>
      <c r="W559" s="46" t="s">
        <v>1461</v>
      </c>
      <c r="X559" s="47" t="s">
        <v>2725</v>
      </c>
      <c r="Y559" s="48">
        <v>0.1</v>
      </c>
      <c r="Z559" s="49" t="s">
        <v>1462</v>
      </c>
      <c r="AA559" s="50" t="s">
        <v>1459</v>
      </c>
      <c r="AB559" s="51">
        <v>0.2</v>
      </c>
    </row>
    <row r="560" spans="1:28" ht="13.5" customHeight="1">
      <c r="A560" s="27"/>
      <c r="B560" s="44"/>
      <c r="C560" s="44"/>
      <c r="D560" s="170"/>
      <c r="E560" s="46" t="s">
        <v>1464</v>
      </c>
      <c r="F560" s="47" t="s">
        <v>1463</v>
      </c>
      <c r="G560" s="48">
        <v>0.3</v>
      </c>
      <c r="H560" s="46" t="s">
        <v>1464</v>
      </c>
      <c r="I560" s="47" t="s">
        <v>1463</v>
      </c>
      <c r="J560" s="48">
        <v>0.3</v>
      </c>
      <c r="K560" s="46" t="s">
        <v>1464</v>
      </c>
      <c r="L560" s="47" t="s">
        <v>1463</v>
      </c>
      <c r="M560" s="48">
        <v>0.3</v>
      </c>
      <c r="N560" s="46" t="s">
        <v>1464</v>
      </c>
      <c r="O560" s="47" t="s">
        <v>1463</v>
      </c>
      <c r="P560" s="48">
        <v>0.4</v>
      </c>
      <c r="Q560" s="46" t="s">
        <v>1464</v>
      </c>
      <c r="R560" s="47" t="s">
        <v>1463</v>
      </c>
      <c r="S560" s="48">
        <v>0.7</v>
      </c>
      <c r="T560" s="46" t="s">
        <v>1464</v>
      </c>
      <c r="U560" s="47" t="s">
        <v>1463</v>
      </c>
      <c r="V560" s="48">
        <v>0.8</v>
      </c>
      <c r="W560" s="46" t="s">
        <v>1465</v>
      </c>
      <c r="X560" s="47" t="s">
        <v>2726</v>
      </c>
      <c r="Y560" s="48">
        <v>0.3</v>
      </c>
      <c r="Z560" s="49" t="s">
        <v>1466</v>
      </c>
      <c r="AA560" s="50" t="s">
        <v>1463</v>
      </c>
      <c r="AB560" s="51">
        <v>0.2</v>
      </c>
    </row>
    <row r="561" spans="1:28" ht="13.5" customHeight="1">
      <c r="A561" s="27"/>
      <c r="B561" s="44"/>
      <c r="C561" s="82"/>
      <c r="D561" s="83"/>
      <c r="E561" s="46" t="s">
        <v>1468</v>
      </c>
      <c r="F561" s="75" t="s">
        <v>1467</v>
      </c>
      <c r="G561" s="48">
        <v>0.4</v>
      </c>
      <c r="H561" s="46" t="s">
        <v>1468</v>
      </c>
      <c r="I561" s="75" t="s">
        <v>1467</v>
      </c>
      <c r="J561" s="48">
        <v>0.4</v>
      </c>
      <c r="K561" s="46" t="s">
        <v>1468</v>
      </c>
      <c r="L561" s="75" t="s">
        <v>1467</v>
      </c>
      <c r="M561" s="48">
        <v>0.5</v>
      </c>
      <c r="N561" s="46" t="s">
        <v>1468</v>
      </c>
      <c r="O561" s="75" t="s">
        <v>1467</v>
      </c>
      <c r="P561" s="48">
        <v>0.6</v>
      </c>
      <c r="Q561" s="76" t="s">
        <v>1468</v>
      </c>
      <c r="R561" s="75" t="s">
        <v>1467</v>
      </c>
      <c r="S561" s="77">
        <v>0.7</v>
      </c>
      <c r="T561" s="76" t="s">
        <v>1468</v>
      </c>
      <c r="U561" s="75" t="s">
        <v>1467</v>
      </c>
      <c r="V561" s="77">
        <v>0.8</v>
      </c>
      <c r="W561" s="46" t="s">
        <v>1469</v>
      </c>
      <c r="X561" s="47" t="s">
        <v>2727</v>
      </c>
      <c r="Y561" s="48">
        <v>0.2</v>
      </c>
      <c r="Z561" s="49"/>
      <c r="AA561" s="50"/>
      <c r="AB561" s="51"/>
    </row>
    <row r="562" spans="1:28" ht="13.5" customHeight="1">
      <c r="A562" s="27"/>
      <c r="B562" s="28" t="s">
        <v>1470</v>
      </c>
      <c r="C562" s="21"/>
      <c r="D562" s="6" t="s">
        <v>1471</v>
      </c>
      <c r="E562" s="31" t="s">
        <v>1472</v>
      </c>
      <c r="F562" s="185"/>
      <c r="G562" s="33">
        <f>G563+G568+G575+G581</f>
        <v>21.9</v>
      </c>
      <c r="H562" s="31" t="s">
        <v>1472</v>
      </c>
      <c r="I562" s="185"/>
      <c r="J562" s="33">
        <f>J563+J568+J575+J581</f>
        <v>20.7</v>
      </c>
      <c r="K562" s="31" t="s">
        <v>1472</v>
      </c>
      <c r="L562" s="185"/>
      <c r="M562" s="33">
        <f>M563+M568+M575+M581</f>
        <v>26.9</v>
      </c>
      <c r="N562" s="31" t="s">
        <v>1472</v>
      </c>
      <c r="O562" s="185"/>
      <c r="P562" s="33">
        <f>P563+P568+P575+P581</f>
        <v>25.599999999999998</v>
      </c>
      <c r="Q562" s="31" t="s">
        <v>1472</v>
      </c>
      <c r="R562" s="185"/>
      <c r="S562" s="33">
        <f>S563+S568+S575+S581</f>
        <v>24.999999999999996</v>
      </c>
      <c r="T562" s="31" t="s">
        <v>1472</v>
      </c>
      <c r="U562" s="185"/>
      <c r="V562" s="33">
        <f>V563+V568+V575+V581</f>
        <v>24.7</v>
      </c>
      <c r="W562" s="162"/>
      <c r="X562" s="185"/>
      <c r="Y562" s="33">
        <f>Y563+Y568+Y575+Y581</f>
        <v>29.900000000000006</v>
      </c>
      <c r="Z562" s="65"/>
      <c r="AA562" s="66"/>
      <c r="AB562" s="33">
        <f>AB563+AB568+AB575+AB581</f>
        <v>29.400000000000002</v>
      </c>
    </row>
    <row r="563" spans="1:28" ht="13.5" customHeight="1">
      <c r="A563" s="27"/>
      <c r="B563" s="36"/>
      <c r="C563" s="28" t="s">
        <v>1473</v>
      </c>
      <c r="D563" s="30" t="s">
        <v>1474</v>
      </c>
      <c r="E563" s="37" t="s">
        <v>1475</v>
      </c>
      <c r="F563" s="186"/>
      <c r="G563" s="39">
        <f>SUM(G564:G567)</f>
        <v>3.9000000000000004</v>
      </c>
      <c r="H563" s="37" t="s">
        <v>1475</v>
      </c>
      <c r="I563" s="186"/>
      <c r="J563" s="39">
        <f>SUM(J564:J567)</f>
        <v>4.0999999999999996</v>
      </c>
      <c r="K563" s="37" t="s">
        <v>1475</v>
      </c>
      <c r="L563" s="186"/>
      <c r="M563" s="39">
        <f>SUM(M564:M567)</f>
        <v>5.5</v>
      </c>
      <c r="N563" s="37" t="s">
        <v>1475</v>
      </c>
      <c r="O563" s="186"/>
      <c r="P563" s="39">
        <f>SUM(P564:P567)</f>
        <v>5.2</v>
      </c>
      <c r="Q563" s="37" t="s">
        <v>1475</v>
      </c>
      <c r="R563" s="186"/>
      <c r="S563" s="39">
        <f>SUM(S564:S567)</f>
        <v>4.9000000000000004</v>
      </c>
      <c r="T563" s="37" t="s">
        <v>1475</v>
      </c>
      <c r="U563" s="186"/>
      <c r="V563" s="39">
        <f>SUM(V564:V567)</f>
        <v>5</v>
      </c>
      <c r="W563" s="97"/>
      <c r="X563" s="186"/>
      <c r="Y563" s="39">
        <f>SUM(Y564:Y567)</f>
        <v>5.3</v>
      </c>
      <c r="Z563" s="42"/>
      <c r="AA563" s="43"/>
      <c r="AB563" s="39">
        <f>SUM(AB564:AB567)</f>
        <v>3.4000000000000004</v>
      </c>
    </row>
    <row r="564" spans="1:28" ht="13.5" customHeight="1">
      <c r="A564" s="27"/>
      <c r="B564" s="144"/>
      <c r="C564" s="44"/>
      <c r="D564" s="45"/>
      <c r="E564" s="46" t="s">
        <v>1477</v>
      </c>
      <c r="F564" s="47" t="s">
        <v>1476</v>
      </c>
      <c r="G564" s="48">
        <v>1.7</v>
      </c>
      <c r="H564" s="46" t="s">
        <v>1477</v>
      </c>
      <c r="I564" s="47" t="s">
        <v>1476</v>
      </c>
      <c r="J564" s="48">
        <v>1.3</v>
      </c>
      <c r="K564" s="46" t="s">
        <v>1477</v>
      </c>
      <c r="L564" s="47" t="s">
        <v>1476</v>
      </c>
      <c r="M564" s="48">
        <v>2.1</v>
      </c>
      <c r="N564" s="46" t="s">
        <v>1477</v>
      </c>
      <c r="O564" s="47" t="s">
        <v>1476</v>
      </c>
      <c r="P564" s="48">
        <v>1.5</v>
      </c>
      <c r="Q564" s="46" t="s">
        <v>1477</v>
      </c>
      <c r="R564" s="47" t="s">
        <v>1476</v>
      </c>
      <c r="S564" s="48">
        <v>1.4</v>
      </c>
      <c r="T564" s="46" t="s">
        <v>1477</v>
      </c>
      <c r="U564" s="47" t="s">
        <v>1476</v>
      </c>
      <c r="V564" s="48">
        <v>1.4</v>
      </c>
      <c r="W564" s="46" t="s">
        <v>1478</v>
      </c>
      <c r="X564" s="47" t="s">
        <v>2728</v>
      </c>
      <c r="Y564" s="48">
        <v>1.7</v>
      </c>
      <c r="Z564" s="49" t="s">
        <v>1479</v>
      </c>
      <c r="AA564" s="50" t="s">
        <v>1480</v>
      </c>
      <c r="AB564" s="51">
        <v>1.2</v>
      </c>
    </row>
    <row r="565" spans="1:28" ht="13.5" customHeight="1">
      <c r="A565" s="27"/>
      <c r="B565" s="44"/>
      <c r="C565" s="36"/>
      <c r="D565" s="6"/>
      <c r="E565" s="46"/>
      <c r="F565" s="47"/>
      <c r="G565" s="48"/>
      <c r="H565" s="46"/>
      <c r="I565" s="47"/>
      <c r="J565" s="48"/>
      <c r="K565" s="46"/>
      <c r="L565" s="47"/>
      <c r="M565" s="48"/>
      <c r="N565" s="46"/>
      <c r="O565" s="47"/>
      <c r="P565" s="48"/>
      <c r="Q565" s="46"/>
      <c r="R565" s="47"/>
      <c r="S565" s="48"/>
      <c r="T565" s="46"/>
      <c r="U565" s="47"/>
      <c r="V565" s="48"/>
      <c r="W565" s="46"/>
      <c r="X565" s="47"/>
      <c r="Y565" s="48"/>
      <c r="Z565" s="49"/>
      <c r="AA565" s="50"/>
      <c r="AB565" s="51"/>
    </row>
    <row r="566" spans="1:28" ht="13.5" customHeight="1">
      <c r="A566" s="27"/>
      <c r="B566" s="44"/>
      <c r="C566" s="36"/>
      <c r="D566" s="6"/>
      <c r="E566" s="46"/>
      <c r="F566" s="47"/>
      <c r="G566" s="48"/>
      <c r="H566" s="46"/>
      <c r="I566" s="47"/>
      <c r="J566" s="48"/>
      <c r="K566" s="46"/>
      <c r="L566" s="47"/>
      <c r="M566" s="48"/>
      <c r="N566" s="46"/>
      <c r="O566" s="47"/>
      <c r="P566" s="48"/>
      <c r="Q566" s="46"/>
      <c r="R566" s="47"/>
      <c r="S566" s="48"/>
      <c r="T566" s="46"/>
      <c r="U566" s="47"/>
      <c r="V566" s="48"/>
      <c r="W566" s="46"/>
      <c r="X566" s="47"/>
      <c r="Y566" s="48"/>
      <c r="Z566" s="49"/>
      <c r="AA566" s="50"/>
      <c r="AB566" s="51"/>
    </row>
    <row r="567" spans="1:28" ht="13.5" customHeight="1">
      <c r="A567" s="27"/>
      <c r="B567" s="44"/>
      <c r="C567" s="82"/>
      <c r="D567" s="83"/>
      <c r="E567" s="46" t="s">
        <v>1481</v>
      </c>
      <c r="F567" s="75" t="s">
        <v>2729</v>
      </c>
      <c r="G567" s="48">
        <v>2.2000000000000002</v>
      </c>
      <c r="H567" s="46" t="s">
        <v>1481</v>
      </c>
      <c r="I567" s="75" t="s">
        <v>2729</v>
      </c>
      <c r="J567" s="48">
        <v>2.8</v>
      </c>
      <c r="K567" s="46" t="s">
        <v>1481</v>
      </c>
      <c r="L567" s="75" t="s">
        <v>2729</v>
      </c>
      <c r="M567" s="48">
        <v>3.4</v>
      </c>
      <c r="N567" s="46" t="s">
        <v>1481</v>
      </c>
      <c r="O567" s="75" t="s">
        <v>2729</v>
      </c>
      <c r="P567" s="48">
        <v>3.7</v>
      </c>
      <c r="Q567" s="76" t="s">
        <v>1481</v>
      </c>
      <c r="R567" s="75" t="s">
        <v>1482</v>
      </c>
      <c r="S567" s="77">
        <v>3.5</v>
      </c>
      <c r="T567" s="76" t="s">
        <v>1481</v>
      </c>
      <c r="U567" s="75" t="s">
        <v>1482</v>
      </c>
      <c r="V567" s="77">
        <v>3.6</v>
      </c>
      <c r="W567" s="76" t="s">
        <v>1483</v>
      </c>
      <c r="X567" s="75" t="s">
        <v>2730</v>
      </c>
      <c r="Y567" s="77">
        <v>3.6</v>
      </c>
      <c r="Z567" s="78" t="s">
        <v>1484</v>
      </c>
      <c r="AA567" s="79" t="s">
        <v>1482</v>
      </c>
      <c r="AB567" s="80">
        <v>2.2000000000000002</v>
      </c>
    </row>
    <row r="568" spans="1:28" ht="13.5" customHeight="1">
      <c r="A568" s="27"/>
      <c r="B568" s="44"/>
      <c r="C568" s="36" t="s">
        <v>1485</v>
      </c>
      <c r="D568" s="6" t="s">
        <v>1486</v>
      </c>
      <c r="E568" s="37" t="s">
        <v>1487</v>
      </c>
      <c r="F568" s="71"/>
      <c r="G568" s="39">
        <f>SUM(G569:G574)</f>
        <v>11</v>
      </c>
      <c r="H568" s="37" t="s">
        <v>1487</v>
      </c>
      <c r="I568" s="71"/>
      <c r="J568" s="39">
        <f>SUM(J569:J574)</f>
        <v>12.1</v>
      </c>
      <c r="K568" s="37" t="s">
        <v>1487</v>
      </c>
      <c r="L568" s="71"/>
      <c r="M568" s="39">
        <f>SUM(M569:M574)</f>
        <v>14.799999999999999</v>
      </c>
      <c r="N568" s="37" t="s">
        <v>1487</v>
      </c>
      <c r="O568" s="71"/>
      <c r="P568" s="39">
        <f>SUM(P569:P574)</f>
        <v>15.8</v>
      </c>
      <c r="Q568" s="37" t="s">
        <v>1487</v>
      </c>
      <c r="R568" s="71"/>
      <c r="S568" s="39">
        <f>SUM(S569:S574)</f>
        <v>16.5</v>
      </c>
      <c r="T568" s="37" t="s">
        <v>1487</v>
      </c>
      <c r="U568" s="71"/>
      <c r="V568" s="39">
        <f>SUM(V569:V574)</f>
        <v>16.399999999999999</v>
      </c>
      <c r="W568" s="72"/>
      <c r="X568" s="71"/>
      <c r="Y568" s="39">
        <f>SUM(Y569:Y574)</f>
        <v>20.6</v>
      </c>
      <c r="Z568" s="42"/>
      <c r="AA568" s="43"/>
      <c r="AB568" s="39">
        <f>SUM(AB569:AB574)</f>
        <v>22.6</v>
      </c>
    </row>
    <row r="569" spans="1:28" ht="13.5" customHeight="1">
      <c r="A569" s="27"/>
      <c r="B569" s="44"/>
      <c r="C569" s="44"/>
      <c r="D569" s="45"/>
      <c r="E569" s="46" t="s">
        <v>1489</v>
      </c>
      <c r="F569" s="113" t="s">
        <v>1488</v>
      </c>
      <c r="G569" s="48">
        <v>6.8</v>
      </c>
      <c r="H569" s="46" t="s">
        <v>1489</v>
      </c>
      <c r="I569" s="113" t="s">
        <v>1488</v>
      </c>
      <c r="J569" s="48">
        <v>7.4</v>
      </c>
      <c r="K569" s="46" t="s">
        <v>1489</v>
      </c>
      <c r="L569" s="113" t="s">
        <v>1488</v>
      </c>
      <c r="M569" s="48">
        <v>9.4</v>
      </c>
      <c r="N569" s="46" t="s">
        <v>1489</v>
      </c>
      <c r="O569" s="113" t="s">
        <v>1488</v>
      </c>
      <c r="P569" s="48">
        <v>10.9</v>
      </c>
      <c r="Q569" s="55" t="s">
        <v>1489</v>
      </c>
      <c r="R569" s="113" t="s">
        <v>1488</v>
      </c>
      <c r="S569" s="48">
        <v>11.6</v>
      </c>
      <c r="T569" s="55" t="s">
        <v>1489</v>
      </c>
      <c r="U569" s="113" t="s">
        <v>1488</v>
      </c>
      <c r="V569" s="48">
        <v>10.9</v>
      </c>
      <c r="W569" s="55" t="s">
        <v>1490</v>
      </c>
      <c r="X569" s="113" t="s">
        <v>2731</v>
      </c>
      <c r="Y569" s="48">
        <v>11.4</v>
      </c>
      <c r="Z569" s="49" t="s">
        <v>1491</v>
      </c>
      <c r="AA569" s="50" t="s">
        <v>1492</v>
      </c>
      <c r="AB569" s="51">
        <v>9.3000000000000007</v>
      </c>
    </row>
    <row r="570" spans="1:28" ht="13.5" customHeight="1">
      <c r="A570" s="27"/>
      <c r="B570" s="44"/>
      <c r="C570" s="44"/>
      <c r="D570" s="45"/>
      <c r="E570" s="46"/>
      <c r="F570" s="113"/>
      <c r="G570" s="48"/>
      <c r="H570" s="46"/>
      <c r="I570" s="113"/>
      <c r="J570" s="48"/>
      <c r="K570" s="46"/>
      <c r="L570" s="113"/>
      <c r="M570" s="48"/>
      <c r="N570" s="46"/>
      <c r="O570" s="113"/>
      <c r="P570" s="48"/>
      <c r="Q570" s="55"/>
      <c r="R570" s="113"/>
      <c r="S570" s="48"/>
      <c r="T570" s="55"/>
      <c r="U570" s="113"/>
      <c r="V570" s="48"/>
      <c r="W570" s="55"/>
      <c r="X570" s="113"/>
      <c r="Y570" s="48"/>
      <c r="Z570" s="49" t="s">
        <v>1493</v>
      </c>
      <c r="AA570" s="50" t="s">
        <v>1494</v>
      </c>
      <c r="AB570" s="51">
        <v>2.2000000000000002</v>
      </c>
    </row>
    <row r="571" spans="1:28" ht="13.5" customHeight="1">
      <c r="A571" s="27"/>
      <c r="B571" s="44"/>
      <c r="C571" s="36"/>
      <c r="D571" s="6"/>
      <c r="E571" s="46"/>
      <c r="F571" s="113"/>
      <c r="G571" s="48"/>
      <c r="H571" s="46"/>
      <c r="I571" s="113"/>
      <c r="J571" s="48"/>
      <c r="K571" s="46"/>
      <c r="L571" s="113"/>
      <c r="M571" s="48"/>
      <c r="N571" s="46"/>
      <c r="O571" s="113"/>
      <c r="P571" s="48"/>
      <c r="Q571" s="55"/>
      <c r="R571" s="113"/>
      <c r="S571" s="48"/>
      <c r="T571" s="55"/>
      <c r="U571" s="113"/>
      <c r="V571" s="48"/>
      <c r="W571" s="55"/>
      <c r="X571" s="113"/>
      <c r="Y571" s="48"/>
      <c r="Z571" s="49" t="s">
        <v>1495</v>
      </c>
      <c r="AA571" s="50" t="s">
        <v>1496</v>
      </c>
      <c r="AB571" s="51">
        <v>2.8</v>
      </c>
    </row>
    <row r="572" spans="1:28" ht="13.5" customHeight="1">
      <c r="A572" s="27"/>
      <c r="B572" s="44"/>
      <c r="C572" s="36"/>
      <c r="D572" s="6"/>
      <c r="E572" s="46" t="s">
        <v>1498</v>
      </c>
      <c r="F572" s="47" t="s">
        <v>1497</v>
      </c>
      <c r="G572" s="48">
        <v>1</v>
      </c>
      <c r="H572" s="46" t="s">
        <v>1498</v>
      </c>
      <c r="I572" s="47" t="s">
        <v>1497</v>
      </c>
      <c r="J572" s="48">
        <v>1.1000000000000001</v>
      </c>
      <c r="K572" s="46" t="s">
        <v>1498</v>
      </c>
      <c r="L572" s="47" t="s">
        <v>1497</v>
      </c>
      <c r="M572" s="48">
        <v>1.2</v>
      </c>
      <c r="N572" s="46" t="s">
        <v>1498</v>
      </c>
      <c r="O572" s="47" t="s">
        <v>1497</v>
      </c>
      <c r="P572" s="48">
        <v>1.3</v>
      </c>
      <c r="Q572" s="55" t="s">
        <v>1498</v>
      </c>
      <c r="R572" s="47" t="s">
        <v>1497</v>
      </c>
      <c r="S572" s="48">
        <v>1.2</v>
      </c>
      <c r="T572" s="55" t="s">
        <v>1498</v>
      </c>
      <c r="U572" s="47" t="s">
        <v>1497</v>
      </c>
      <c r="V572" s="48">
        <v>1.4</v>
      </c>
      <c r="W572" s="55" t="s">
        <v>1499</v>
      </c>
      <c r="X572" s="47" t="s">
        <v>2732</v>
      </c>
      <c r="Y572" s="48">
        <v>3.1</v>
      </c>
      <c r="Z572" s="49" t="s">
        <v>1500</v>
      </c>
      <c r="AA572" s="50" t="s">
        <v>1497</v>
      </c>
      <c r="AB572" s="51">
        <v>2</v>
      </c>
    </row>
    <row r="573" spans="1:28" ht="13.5" customHeight="1">
      <c r="A573" s="27"/>
      <c r="B573" s="44"/>
      <c r="C573" s="36"/>
      <c r="D573" s="6"/>
      <c r="E573" s="46"/>
      <c r="F573" s="47"/>
      <c r="G573" s="48"/>
      <c r="H573" s="46"/>
      <c r="I573" s="47"/>
      <c r="J573" s="48"/>
      <c r="K573" s="46" t="s">
        <v>1502</v>
      </c>
      <c r="L573" s="47" t="s">
        <v>1501</v>
      </c>
      <c r="M573" s="48">
        <v>0.7</v>
      </c>
      <c r="N573" s="46" t="s">
        <v>1502</v>
      </c>
      <c r="O573" s="47" t="s">
        <v>1501</v>
      </c>
      <c r="P573" s="48">
        <v>0.5</v>
      </c>
      <c r="Q573" s="55" t="s">
        <v>1502</v>
      </c>
      <c r="R573" s="47" t="s">
        <v>1501</v>
      </c>
      <c r="S573" s="48">
        <v>0.5</v>
      </c>
      <c r="T573" s="55" t="s">
        <v>1502</v>
      </c>
      <c r="U573" s="47" t="s">
        <v>1501</v>
      </c>
      <c r="V573" s="48">
        <v>0.6</v>
      </c>
      <c r="W573" s="55" t="s">
        <v>1503</v>
      </c>
      <c r="X573" s="47" t="s">
        <v>2733</v>
      </c>
      <c r="Y573" s="48">
        <v>1.3</v>
      </c>
      <c r="Z573" s="49" t="s">
        <v>1504</v>
      </c>
      <c r="AA573" s="50" t="s">
        <v>1501</v>
      </c>
      <c r="AB573" s="51">
        <v>0.8</v>
      </c>
    </row>
    <row r="574" spans="1:28" ht="13.5" customHeight="1">
      <c r="A574" s="27"/>
      <c r="B574" s="44"/>
      <c r="C574" s="82"/>
      <c r="D574" s="83"/>
      <c r="E574" s="46" t="s">
        <v>3004</v>
      </c>
      <c r="F574" s="75" t="s">
        <v>1505</v>
      </c>
      <c r="G574" s="48">
        <v>3.2</v>
      </c>
      <c r="H574" s="46" t="s">
        <v>3004</v>
      </c>
      <c r="I574" s="75" t="s">
        <v>1505</v>
      </c>
      <c r="J574" s="48">
        <v>3.6</v>
      </c>
      <c r="K574" s="46" t="s">
        <v>1506</v>
      </c>
      <c r="L574" s="75" t="s">
        <v>1505</v>
      </c>
      <c r="M574" s="48">
        <v>3.5</v>
      </c>
      <c r="N574" s="46" t="s">
        <v>1506</v>
      </c>
      <c r="O574" s="75" t="s">
        <v>1505</v>
      </c>
      <c r="P574" s="48">
        <v>3.1</v>
      </c>
      <c r="Q574" s="116" t="s">
        <v>1506</v>
      </c>
      <c r="R574" s="75" t="s">
        <v>1505</v>
      </c>
      <c r="S574" s="77">
        <v>3.2</v>
      </c>
      <c r="T574" s="116" t="s">
        <v>1506</v>
      </c>
      <c r="U574" s="75" t="s">
        <v>1505</v>
      </c>
      <c r="V574" s="77">
        <v>3.5</v>
      </c>
      <c r="W574" s="116" t="s">
        <v>1507</v>
      </c>
      <c r="X574" s="75" t="s">
        <v>2734</v>
      </c>
      <c r="Y574" s="77">
        <v>4.8</v>
      </c>
      <c r="Z574" s="78" t="s">
        <v>1508</v>
      </c>
      <c r="AA574" s="79" t="s">
        <v>1505</v>
      </c>
      <c r="AB574" s="80">
        <v>5.5</v>
      </c>
    </row>
    <row r="575" spans="1:28" ht="13.5" customHeight="1">
      <c r="A575" s="27"/>
      <c r="B575" s="44"/>
      <c r="C575" s="28" t="s">
        <v>1509</v>
      </c>
      <c r="D575" s="30" t="s">
        <v>1510</v>
      </c>
      <c r="E575" s="37" t="s">
        <v>1511</v>
      </c>
      <c r="F575" s="71"/>
      <c r="G575" s="39">
        <f>SUM(G576:G580)</f>
        <v>4.0999999999999996</v>
      </c>
      <c r="H575" s="37" t="s">
        <v>1511</v>
      </c>
      <c r="I575" s="71"/>
      <c r="J575" s="39">
        <f>SUM(J576:J580)</f>
        <v>1.8</v>
      </c>
      <c r="K575" s="37" t="s">
        <v>1511</v>
      </c>
      <c r="L575" s="71"/>
      <c r="M575" s="39">
        <f>SUM(M576:M580)</f>
        <v>3.5</v>
      </c>
      <c r="N575" s="37" t="s">
        <v>1511</v>
      </c>
      <c r="O575" s="71"/>
      <c r="P575" s="39">
        <f>SUM(P576:P580)</f>
        <v>2.9</v>
      </c>
      <c r="Q575" s="37" t="s">
        <v>1511</v>
      </c>
      <c r="R575" s="71"/>
      <c r="S575" s="39">
        <f>SUM(S576:S580)</f>
        <v>2.2000000000000002</v>
      </c>
      <c r="T575" s="37" t="s">
        <v>1511</v>
      </c>
      <c r="U575" s="71"/>
      <c r="V575" s="39">
        <f>SUM(V576:V580)</f>
        <v>2.1</v>
      </c>
      <c r="W575" s="168"/>
      <c r="X575" s="71"/>
      <c r="Y575" s="39">
        <f>SUM(Y576:Y580)</f>
        <v>2.4000000000000004</v>
      </c>
      <c r="Z575" s="42"/>
      <c r="AA575" s="43"/>
      <c r="AB575" s="39">
        <f>SUM(AB576:AB580)</f>
        <v>2.3000000000000003</v>
      </c>
    </row>
    <row r="576" spans="1:28" ht="13.5" customHeight="1">
      <c r="A576" s="27"/>
      <c r="B576" s="44"/>
      <c r="C576" s="44"/>
      <c r="D576" s="45"/>
      <c r="E576" s="46" t="s">
        <v>1513</v>
      </c>
      <c r="F576" s="47" t="s">
        <v>1512</v>
      </c>
      <c r="G576" s="48">
        <v>1</v>
      </c>
      <c r="H576" s="46" t="s">
        <v>1513</v>
      </c>
      <c r="I576" s="47" t="s">
        <v>1512</v>
      </c>
      <c r="J576" s="48">
        <v>0.4</v>
      </c>
      <c r="K576" s="46" t="s">
        <v>1513</v>
      </c>
      <c r="L576" s="47" t="s">
        <v>1512</v>
      </c>
      <c r="M576" s="48">
        <v>0.4</v>
      </c>
      <c r="N576" s="46" t="s">
        <v>1513</v>
      </c>
      <c r="O576" s="47" t="s">
        <v>1512</v>
      </c>
      <c r="P576" s="48">
        <v>0.3</v>
      </c>
      <c r="Q576" s="46" t="s">
        <v>1513</v>
      </c>
      <c r="R576" s="47" t="s">
        <v>1512</v>
      </c>
      <c r="S576" s="48">
        <v>0.2</v>
      </c>
      <c r="T576" s="46" t="s">
        <v>1513</v>
      </c>
      <c r="U576" s="47" t="s">
        <v>1512</v>
      </c>
      <c r="V576" s="48">
        <v>0.2</v>
      </c>
      <c r="W576" s="46" t="s">
        <v>1514</v>
      </c>
      <c r="X576" s="47" t="s">
        <v>2735</v>
      </c>
      <c r="Y576" s="48">
        <v>0.4</v>
      </c>
      <c r="Z576" s="49" t="s">
        <v>1515</v>
      </c>
      <c r="AA576" s="50" t="s">
        <v>1512</v>
      </c>
      <c r="AB576" s="51">
        <v>1</v>
      </c>
    </row>
    <row r="577" spans="1:28" ht="13.5" customHeight="1">
      <c r="A577" s="27"/>
      <c r="B577" s="44"/>
      <c r="C577" s="36"/>
      <c r="D577" s="6"/>
      <c r="E577" s="46" t="s">
        <v>1517</v>
      </c>
      <c r="F577" s="47" t="s">
        <v>1516</v>
      </c>
      <c r="G577" s="48">
        <v>2.9</v>
      </c>
      <c r="H577" s="46" t="s">
        <v>1517</v>
      </c>
      <c r="I577" s="47" t="s">
        <v>1516</v>
      </c>
      <c r="J577" s="48">
        <v>1.2</v>
      </c>
      <c r="K577" s="46" t="s">
        <v>1517</v>
      </c>
      <c r="L577" s="47" t="s">
        <v>1516</v>
      </c>
      <c r="M577" s="48">
        <v>2.9</v>
      </c>
      <c r="N577" s="46" t="s">
        <v>1517</v>
      </c>
      <c r="O577" s="47" t="s">
        <v>1516</v>
      </c>
      <c r="P577" s="48">
        <v>2.5</v>
      </c>
      <c r="Q577" s="46" t="s">
        <v>1517</v>
      </c>
      <c r="R577" s="47" t="s">
        <v>1516</v>
      </c>
      <c r="S577" s="48">
        <v>1.9</v>
      </c>
      <c r="T577" s="46" t="s">
        <v>1517</v>
      </c>
      <c r="U577" s="47" t="s">
        <v>1516</v>
      </c>
      <c r="V577" s="48">
        <v>1.7</v>
      </c>
      <c r="W577" s="46" t="s">
        <v>1518</v>
      </c>
      <c r="X577" s="47" t="s">
        <v>2736</v>
      </c>
      <c r="Y577" s="48">
        <v>1.7</v>
      </c>
      <c r="Z577" s="49" t="s">
        <v>1519</v>
      </c>
      <c r="AA577" s="50" t="s">
        <v>1516</v>
      </c>
      <c r="AB577" s="51">
        <v>1.2</v>
      </c>
    </row>
    <row r="578" spans="1:28" ht="13.5" customHeight="1">
      <c r="A578" s="27"/>
      <c r="B578" s="44"/>
      <c r="C578" s="36"/>
      <c r="D578" s="6"/>
      <c r="E578" s="46"/>
      <c r="F578" s="47"/>
      <c r="G578" s="48"/>
      <c r="H578" s="46"/>
      <c r="I578" s="47"/>
      <c r="J578" s="48"/>
      <c r="K578" s="46"/>
      <c r="L578" s="47"/>
      <c r="M578" s="48"/>
      <c r="N578" s="46"/>
      <c r="O578" s="47"/>
      <c r="P578" s="48"/>
      <c r="Q578" s="46"/>
      <c r="R578" s="47"/>
      <c r="S578" s="48"/>
      <c r="T578" s="46"/>
      <c r="U578" s="47"/>
      <c r="V578" s="48"/>
      <c r="W578" s="46" t="s">
        <v>1520</v>
      </c>
      <c r="X578" s="47" t="s">
        <v>2737</v>
      </c>
      <c r="Y578" s="48">
        <v>0.1</v>
      </c>
      <c r="Z578" s="49" t="s">
        <v>1521</v>
      </c>
      <c r="AA578" s="50" t="s">
        <v>1522</v>
      </c>
      <c r="AB578" s="51">
        <v>0.1</v>
      </c>
    </row>
    <row r="579" spans="1:28" ht="13.5" customHeight="1">
      <c r="A579" s="27"/>
      <c r="B579" s="44"/>
      <c r="C579" s="36"/>
      <c r="D579" s="6"/>
      <c r="E579" s="46"/>
      <c r="F579" s="47"/>
      <c r="G579" s="48"/>
      <c r="H579" s="46"/>
      <c r="I579" s="47"/>
      <c r="J579" s="48"/>
      <c r="K579" s="46"/>
      <c r="L579" s="47"/>
      <c r="M579" s="48"/>
      <c r="N579" s="46"/>
      <c r="O579" s="47"/>
      <c r="P579" s="48"/>
      <c r="Q579" s="46"/>
      <c r="R579" s="47"/>
      <c r="S579" s="48"/>
      <c r="T579" s="46"/>
      <c r="U579" s="47"/>
      <c r="V579" s="48"/>
      <c r="W579" s="46"/>
      <c r="X579" s="47"/>
      <c r="Y579" s="48"/>
      <c r="Z579" s="49"/>
      <c r="AA579" s="50"/>
      <c r="AB579" s="51"/>
    </row>
    <row r="580" spans="1:28" ht="13.5" customHeight="1">
      <c r="A580" s="27"/>
      <c r="B580" s="44"/>
      <c r="C580" s="82"/>
      <c r="D580" s="83"/>
      <c r="E580" s="46" t="s">
        <v>1524</v>
      </c>
      <c r="F580" s="75" t="s">
        <v>1523</v>
      </c>
      <c r="G580" s="48">
        <v>0.2</v>
      </c>
      <c r="H580" s="46" t="s">
        <v>1524</v>
      </c>
      <c r="I580" s="75" t="s">
        <v>1523</v>
      </c>
      <c r="J580" s="48">
        <v>0.2</v>
      </c>
      <c r="K580" s="46" t="s">
        <v>1524</v>
      </c>
      <c r="L580" s="75" t="s">
        <v>1523</v>
      </c>
      <c r="M580" s="48">
        <v>0.2</v>
      </c>
      <c r="N580" s="46" t="s">
        <v>1524</v>
      </c>
      <c r="O580" s="75" t="s">
        <v>1523</v>
      </c>
      <c r="P580" s="48">
        <v>0.1</v>
      </c>
      <c r="Q580" s="76" t="s">
        <v>1524</v>
      </c>
      <c r="R580" s="75" t="s">
        <v>1523</v>
      </c>
      <c r="S580" s="77">
        <v>0.1</v>
      </c>
      <c r="T580" s="76" t="s">
        <v>1524</v>
      </c>
      <c r="U580" s="75" t="s">
        <v>1523</v>
      </c>
      <c r="V580" s="77">
        <v>0.2</v>
      </c>
      <c r="W580" s="76" t="s">
        <v>1525</v>
      </c>
      <c r="X580" s="75" t="s">
        <v>2738</v>
      </c>
      <c r="Y580" s="77">
        <v>0.2</v>
      </c>
      <c r="Z580" s="78"/>
      <c r="AA580" s="79"/>
      <c r="AB580" s="80"/>
    </row>
    <row r="581" spans="1:28" ht="13.5" customHeight="1">
      <c r="A581" s="27"/>
      <c r="B581" s="44"/>
      <c r="C581" s="28" t="s">
        <v>1526</v>
      </c>
      <c r="D581" s="30" t="s">
        <v>1527</v>
      </c>
      <c r="E581" s="37" t="s">
        <v>1528</v>
      </c>
      <c r="F581" s="134"/>
      <c r="G581" s="39">
        <f>SUM(G582:G583)</f>
        <v>2.9</v>
      </c>
      <c r="H581" s="37" t="s">
        <v>1528</v>
      </c>
      <c r="I581" s="134"/>
      <c r="J581" s="39">
        <f>SUM(J582:J583)</f>
        <v>2.7</v>
      </c>
      <c r="K581" s="37" t="s">
        <v>1528</v>
      </c>
      <c r="L581" s="134"/>
      <c r="M581" s="39">
        <f>SUM(M582:M583)</f>
        <v>3.0999999999999996</v>
      </c>
      <c r="N581" s="37" t="s">
        <v>1528</v>
      </c>
      <c r="O581" s="134"/>
      <c r="P581" s="39">
        <f>SUM(P582:P583)</f>
        <v>1.7</v>
      </c>
      <c r="Q581" s="37" t="s">
        <v>1528</v>
      </c>
      <c r="R581" s="134"/>
      <c r="S581" s="39">
        <f>SUM(S582:S583)</f>
        <v>1.4</v>
      </c>
      <c r="T581" s="37" t="s">
        <v>1528</v>
      </c>
      <c r="U581" s="134"/>
      <c r="V581" s="39">
        <f>SUM(V582:V583)</f>
        <v>1.2000000000000002</v>
      </c>
      <c r="W581" s="135"/>
      <c r="X581" s="134"/>
      <c r="Y581" s="39">
        <f>SUM(Y582:Y583)</f>
        <v>1.6</v>
      </c>
      <c r="Z581" s="42"/>
      <c r="AA581" s="43"/>
      <c r="AB581" s="39">
        <f>SUM(AB582:AB583)</f>
        <v>1.1000000000000001</v>
      </c>
    </row>
    <row r="582" spans="1:28" ht="13.5" customHeight="1">
      <c r="A582" s="27"/>
      <c r="B582" s="44"/>
      <c r="C582" s="36"/>
      <c r="D582" s="6"/>
      <c r="E582" s="46" t="s">
        <v>1530</v>
      </c>
      <c r="F582" s="47" t="s">
        <v>1529</v>
      </c>
      <c r="G582" s="48">
        <v>1</v>
      </c>
      <c r="H582" s="46" t="s">
        <v>1530</v>
      </c>
      <c r="I582" s="47" t="s">
        <v>1529</v>
      </c>
      <c r="J582" s="48">
        <v>1.8</v>
      </c>
      <c r="K582" s="46" t="s">
        <v>1530</v>
      </c>
      <c r="L582" s="47" t="s">
        <v>1529</v>
      </c>
      <c r="M582" s="48">
        <v>1.9</v>
      </c>
      <c r="N582" s="46" t="s">
        <v>1530</v>
      </c>
      <c r="O582" s="47" t="s">
        <v>1529</v>
      </c>
      <c r="P582" s="48">
        <v>1</v>
      </c>
      <c r="Q582" s="46" t="s">
        <v>1530</v>
      </c>
      <c r="R582" s="47" t="s">
        <v>1529</v>
      </c>
      <c r="S582" s="48">
        <v>0.9</v>
      </c>
      <c r="T582" s="46" t="s">
        <v>1530</v>
      </c>
      <c r="U582" s="47" t="s">
        <v>1529</v>
      </c>
      <c r="V582" s="48">
        <v>0.8</v>
      </c>
      <c r="W582" s="46" t="s">
        <v>1531</v>
      </c>
      <c r="X582" s="47" t="s">
        <v>2739</v>
      </c>
      <c r="Y582" s="48">
        <v>0.8</v>
      </c>
      <c r="Z582" s="49" t="s">
        <v>1532</v>
      </c>
      <c r="AA582" s="50" t="s">
        <v>1529</v>
      </c>
      <c r="AB582" s="51">
        <v>0.6</v>
      </c>
    </row>
    <row r="583" spans="1:28" ht="13.5" customHeight="1">
      <c r="A583" s="27"/>
      <c r="B583" s="44"/>
      <c r="C583" s="82"/>
      <c r="D583" s="83"/>
      <c r="E583" s="46" t="s">
        <v>1534</v>
      </c>
      <c r="F583" s="75" t="s">
        <v>1533</v>
      </c>
      <c r="G583" s="48">
        <v>1.9</v>
      </c>
      <c r="H583" s="46" t="s">
        <v>1534</v>
      </c>
      <c r="I583" s="75" t="s">
        <v>1533</v>
      </c>
      <c r="J583" s="48">
        <v>0.9</v>
      </c>
      <c r="K583" s="46" t="s">
        <v>1534</v>
      </c>
      <c r="L583" s="75" t="s">
        <v>1533</v>
      </c>
      <c r="M583" s="48">
        <v>1.2</v>
      </c>
      <c r="N583" s="46" t="s">
        <v>1534</v>
      </c>
      <c r="O583" s="75" t="s">
        <v>1533</v>
      </c>
      <c r="P583" s="48">
        <v>0.7</v>
      </c>
      <c r="Q583" s="76" t="s">
        <v>1534</v>
      </c>
      <c r="R583" s="75" t="s">
        <v>1533</v>
      </c>
      <c r="S583" s="77">
        <v>0.5</v>
      </c>
      <c r="T583" s="76" t="s">
        <v>1534</v>
      </c>
      <c r="U583" s="75" t="s">
        <v>1533</v>
      </c>
      <c r="V583" s="77">
        <v>0.4</v>
      </c>
      <c r="W583" s="76" t="s">
        <v>1535</v>
      </c>
      <c r="X583" s="75" t="s">
        <v>2740</v>
      </c>
      <c r="Y583" s="77">
        <v>0.8</v>
      </c>
      <c r="Z583" s="78" t="s">
        <v>1536</v>
      </c>
      <c r="AA583" s="79" t="s">
        <v>1537</v>
      </c>
      <c r="AB583" s="80">
        <v>0.5</v>
      </c>
    </row>
    <row r="584" spans="1:28" ht="13.5" customHeight="1">
      <c r="A584" s="85" t="s">
        <v>1538</v>
      </c>
      <c r="B584" s="29"/>
      <c r="C584" s="21"/>
      <c r="D584" s="6" t="s">
        <v>1539</v>
      </c>
      <c r="E584" s="62"/>
      <c r="F584" s="63"/>
      <c r="G584" s="100">
        <f>G585+G589+G596</f>
        <v>46.6</v>
      </c>
      <c r="H584" s="62"/>
      <c r="I584" s="63"/>
      <c r="J584" s="100">
        <f>J585+J589+J596</f>
        <v>48.4</v>
      </c>
      <c r="K584" s="62"/>
      <c r="L584" s="63"/>
      <c r="M584" s="100">
        <f>M585+M589+M596</f>
        <v>53.5</v>
      </c>
      <c r="N584" s="62"/>
      <c r="O584" s="63"/>
      <c r="P584" s="100">
        <f>P585+P589+P596</f>
        <v>54.8</v>
      </c>
      <c r="Q584" s="62"/>
      <c r="R584" s="63"/>
      <c r="S584" s="124">
        <f>S585+S589+S596</f>
        <v>59.099999999999994</v>
      </c>
      <c r="T584" s="62"/>
      <c r="U584" s="63"/>
      <c r="V584" s="124">
        <f>V585+V589+V596</f>
        <v>57.800000000000004</v>
      </c>
      <c r="W584" s="62"/>
      <c r="X584" s="63"/>
      <c r="Y584" s="124">
        <f>Y585+Y589+Y596</f>
        <v>60.199999999999996</v>
      </c>
      <c r="Z584" s="65"/>
      <c r="AA584" s="66"/>
      <c r="AB584" s="124">
        <f>AB585+AB589+AB596</f>
        <v>47.9</v>
      </c>
    </row>
    <row r="585" spans="1:28" ht="13.5" customHeight="1">
      <c r="A585" s="104"/>
      <c r="B585" s="28" t="s">
        <v>1540</v>
      </c>
      <c r="C585" s="29"/>
      <c r="D585" s="30" t="s">
        <v>1541</v>
      </c>
      <c r="E585" s="31" t="s">
        <v>1542</v>
      </c>
      <c r="F585" s="187"/>
      <c r="G585" s="33">
        <f>G586</f>
        <v>0.1</v>
      </c>
      <c r="H585" s="31" t="s">
        <v>1542</v>
      </c>
      <c r="I585" s="187"/>
      <c r="J585" s="33">
        <f>J586</f>
        <v>0.1</v>
      </c>
      <c r="K585" s="31" t="s">
        <v>1542</v>
      </c>
      <c r="L585" s="187"/>
      <c r="M585" s="33">
        <f>M586</f>
        <v>0.1</v>
      </c>
      <c r="N585" s="31" t="s">
        <v>1542</v>
      </c>
      <c r="O585" s="187"/>
      <c r="P585" s="33">
        <f>P586</f>
        <v>0.1</v>
      </c>
      <c r="Q585" s="31" t="s">
        <v>1542</v>
      </c>
      <c r="R585" s="187"/>
      <c r="S585" s="33">
        <f>S586</f>
        <v>0.1</v>
      </c>
      <c r="T585" s="31" t="s">
        <v>1542</v>
      </c>
      <c r="U585" s="187"/>
      <c r="V585" s="33">
        <f>V586</f>
        <v>0.1</v>
      </c>
      <c r="W585" s="188"/>
      <c r="X585" s="187"/>
      <c r="Y585" s="33">
        <f>Y586</f>
        <v>0.1</v>
      </c>
      <c r="Z585" s="120"/>
      <c r="AA585" s="121"/>
      <c r="AB585" s="33">
        <f>AB586</f>
        <v>0.2</v>
      </c>
    </row>
    <row r="586" spans="1:28" ht="13.5" customHeight="1">
      <c r="A586" s="104"/>
      <c r="B586" s="36"/>
      <c r="C586" s="28" t="s">
        <v>1543</v>
      </c>
      <c r="D586" s="30" t="s">
        <v>1544</v>
      </c>
      <c r="E586" s="37" t="s">
        <v>1545</v>
      </c>
      <c r="F586" s="189"/>
      <c r="G586" s="190">
        <f>SUM(G587:G588)</f>
        <v>0.1</v>
      </c>
      <c r="H586" s="37" t="s">
        <v>1545</v>
      </c>
      <c r="I586" s="189"/>
      <c r="J586" s="190">
        <f>SUM(J587:J588)</f>
        <v>0.1</v>
      </c>
      <c r="K586" s="37" t="s">
        <v>1545</v>
      </c>
      <c r="L586" s="189"/>
      <c r="M586" s="190">
        <f>SUM(M587:M588)</f>
        <v>0.1</v>
      </c>
      <c r="N586" s="37" t="s">
        <v>1545</v>
      </c>
      <c r="O586" s="189"/>
      <c r="P586" s="190">
        <f>SUM(P587:P588)</f>
        <v>0.1</v>
      </c>
      <c r="Q586" s="37" t="s">
        <v>1545</v>
      </c>
      <c r="R586" s="189"/>
      <c r="S586" s="190">
        <f>SUM(S587:S588)</f>
        <v>0.1</v>
      </c>
      <c r="T586" s="37" t="s">
        <v>1545</v>
      </c>
      <c r="U586" s="189"/>
      <c r="V586" s="190">
        <f>SUM(V587:V588)</f>
        <v>0.1</v>
      </c>
      <c r="W586" s="191"/>
      <c r="X586" s="189"/>
      <c r="Y586" s="190">
        <f>SUM(Y587:Y588)</f>
        <v>0.1</v>
      </c>
      <c r="Z586" s="192"/>
      <c r="AA586" s="193"/>
      <c r="AB586" s="190">
        <f>SUM(AB587:AB588)</f>
        <v>0.2</v>
      </c>
    </row>
    <row r="587" spans="1:28" ht="13.5" customHeight="1">
      <c r="A587" s="104"/>
      <c r="B587" s="36"/>
      <c r="C587" s="139"/>
      <c r="D587" s="252"/>
      <c r="E587" s="46" t="s">
        <v>1547</v>
      </c>
      <c r="F587" s="68" t="s">
        <v>1546</v>
      </c>
      <c r="G587" s="48">
        <v>0.1</v>
      </c>
      <c r="H587" s="46" t="s">
        <v>1547</v>
      </c>
      <c r="I587" s="68" t="s">
        <v>1546</v>
      </c>
      <c r="J587" s="48">
        <v>0.1</v>
      </c>
      <c r="K587" s="46" t="s">
        <v>1547</v>
      </c>
      <c r="L587" s="68" t="s">
        <v>1546</v>
      </c>
      <c r="M587" s="48">
        <v>0.1</v>
      </c>
      <c r="N587" s="46" t="s">
        <v>1547</v>
      </c>
      <c r="O587" s="68" t="s">
        <v>1546</v>
      </c>
      <c r="P587" s="48">
        <v>0.1</v>
      </c>
      <c r="Q587" s="109" t="s">
        <v>1547</v>
      </c>
      <c r="R587" s="68" t="s">
        <v>1546</v>
      </c>
      <c r="S587" s="70">
        <v>0.1</v>
      </c>
      <c r="T587" s="109" t="s">
        <v>1547</v>
      </c>
      <c r="U587" s="68" t="s">
        <v>1546</v>
      </c>
      <c r="V587" s="70">
        <v>0.1</v>
      </c>
      <c r="W587" s="109" t="s">
        <v>1548</v>
      </c>
      <c r="X587" s="68" t="s">
        <v>2741</v>
      </c>
      <c r="Y587" s="70">
        <v>0.1</v>
      </c>
      <c r="Z587" s="110" t="s">
        <v>1549</v>
      </c>
      <c r="AA587" s="111" t="s">
        <v>1550</v>
      </c>
      <c r="AB587" s="112">
        <v>0.1</v>
      </c>
    </row>
    <row r="588" spans="1:28" ht="13.5" customHeight="1">
      <c r="A588" s="27"/>
      <c r="B588" s="180"/>
      <c r="C588" s="114"/>
      <c r="D588" s="140"/>
      <c r="E588" s="46"/>
      <c r="F588" s="75"/>
      <c r="G588" s="48"/>
      <c r="H588" s="46"/>
      <c r="I588" s="75"/>
      <c r="J588" s="48"/>
      <c r="K588" s="46"/>
      <c r="L588" s="75"/>
      <c r="M588" s="48"/>
      <c r="N588" s="46"/>
      <c r="O588" s="75"/>
      <c r="P588" s="48"/>
      <c r="Q588" s="76"/>
      <c r="R588" s="75"/>
      <c r="S588" s="77"/>
      <c r="T588" s="76"/>
      <c r="U588" s="75"/>
      <c r="V588" s="77"/>
      <c r="W588" s="76"/>
      <c r="X588" s="75"/>
      <c r="Y588" s="77"/>
      <c r="Z588" s="78" t="s">
        <v>1551</v>
      </c>
      <c r="AA588" s="79" t="s">
        <v>1552</v>
      </c>
      <c r="AB588" s="80">
        <v>0.1</v>
      </c>
    </row>
    <row r="589" spans="1:28" ht="13.5" customHeight="1">
      <c r="A589" s="27"/>
      <c r="B589" s="36" t="s">
        <v>1553</v>
      </c>
      <c r="C589" s="194"/>
      <c r="D589" s="6" t="s">
        <v>1554</v>
      </c>
      <c r="E589" s="31" t="s">
        <v>1555</v>
      </c>
      <c r="F589" s="118"/>
      <c r="G589" s="33">
        <f>G590</f>
        <v>10.4</v>
      </c>
      <c r="H589" s="31" t="s">
        <v>1555</v>
      </c>
      <c r="I589" s="118"/>
      <c r="J589" s="33">
        <f>J590</f>
        <v>11</v>
      </c>
      <c r="K589" s="31" t="s">
        <v>1555</v>
      </c>
      <c r="L589" s="118"/>
      <c r="M589" s="33">
        <f>M590</f>
        <v>9.9</v>
      </c>
      <c r="N589" s="31" t="s">
        <v>1555</v>
      </c>
      <c r="O589" s="118"/>
      <c r="P589" s="33">
        <f>P590</f>
        <v>8.1999999999999993</v>
      </c>
      <c r="Q589" s="31" t="s">
        <v>1555</v>
      </c>
      <c r="R589" s="118"/>
      <c r="S589" s="33">
        <f>S590</f>
        <v>2.7</v>
      </c>
      <c r="T589" s="31" t="s">
        <v>1555</v>
      </c>
      <c r="U589" s="118"/>
      <c r="V589" s="33">
        <f>V590</f>
        <v>0.60000000000000009</v>
      </c>
      <c r="W589" s="119" t="s">
        <v>2742</v>
      </c>
      <c r="X589" s="118"/>
      <c r="Y589" s="33">
        <f>Y590</f>
        <v>3.6</v>
      </c>
      <c r="Z589" s="65"/>
      <c r="AA589" s="66"/>
      <c r="AB589" s="33">
        <f>AB590</f>
        <v>1.9</v>
      </c>
    </row>
    <row r="590" spans="1:28" ht="13.5" customHeight="1">
      <c r="A590" s="27"/>
      <c r="B590" s="44"/>
      <c r="C590" s="28" t="s">
        <v>1556</v>
      </c>
      <c r="D590" s="30" t="s">
        <v>1554</v>
      </c>
      <c r="E590" s="37" t="s">
        <v>1557</v>
      </c>
      <c r="F590" s="41"/>
      <c r="G590" s="39">
        <f>SUM(G591:G595)</f>
        <v>10.4</v>
      </c>
      <c r="H590" s="37" t="s">
        <v>1557</v>
      </c>
      <c r="I590" s="41"/>
      <c r="J590" s="39">
        <f>SUM(J591:J595)</f>
        <v>11</v>
      </c>
      <c r="K590" s="37" t="s">
        <v>1557</v>
      </c>
      <c r="L590" s="41"/>
      <c r="M590" s="39">
        <f>SUM(M591:M595)</f>
        <v>9.9</v>
      </c>
      <c r="N590" s="37" t="s">
        <v>1557</v>
      </c>
      <c r="O590" s="41"/>
      <c r="P590" s="39">
        <f>SUM(P591:P595)</f>
        <v>8.1999999999999993</v>
      </c>
      <c r="Q590" s="37" t="s">
        <v>1557</v>
      </c>
      <c r="R590" s="41"/>
      <c r="S590" s="39">
        <f>SUM(S591:S595)</f>
        <v>2.7</v>
      </c>
      <c r="T590" s="37" t="s">
        <v>1557</v>
      </c>
      <c r="U590" s="41"/>
      <c r="V590" s="39">
        <f>SUM(V591:V595)</f>
        <v>0.60000000000000009</v>
      </c>
      <c r="W590" s="40"/>
      <c r="X590" s="41"/>
      <c r="Y590" s="39">
        <f>SUM(Y591:Y595)</f>
        <v>3.6</v>
      </c>
      <c r="Z590" s="42"/>
      <c r="AA590" s="43"/>
      <c r="AB590" s="39">
        <f>SUM(AB591:AB595)</f>
        <v>1.9</v>
      </c>
    </row>
    <row r="591" spans="1:28" ht="13.5" customHeight="1">
      <c r="A591" s="27"/>
      <c r="B591" s="144"/>
      <c r="C591" s="36"/>
      <c r="D591" s="6"/>
      <c r="E591" s="46"/>
      <c r="F591" s="47"/>
      <c r="G591" s="48"/>
      <c r="H591" s="46"/>
      <c r="I591" s="47"/>
      <c r="J591" s="48"/>
      <c r="K591" s="46"/>
      <c r="L591" s="47"/>
      <c r="M591" s="48"/>
      <c r="N591" s="46"/>
      <c r="O591" s="47"/>
      <c r="P591" s="48"/>
      <c r="Q591" s="46"/>
      <c r="R591" s="47"/>
      <c r="S591" s="48"/>
      <c r="T591" s="46"/>
      <c r="U591" s="47"/>
      <c r="V591" s="48"/>
      <c r="W591" s="46" t="s">
        <v>1558</v>
      </c>
      <c r="X591" s="47" t="s">
        <v>2743</v>
      </c>
      <c r="Y591" s="48">
        <v>0.4</v>
      </c>
      <c r="Z591" s="49" t="s">
        <v>1559</v>
      </c>
      <c r="AA591" s="50" t="s">
        <v>1560</v>
      </c>
      <c r="AB591" s="51">
        <v>0.4</v>
      </c>
    </row>
    <row r="592" spans="1:28" ht="13.5" customHeight="1">
      <c r="A592" s="27"/>
      <c r="B592" s="144"/>
      <c r="C592" s="36"/>
      <c r="D592" s="6"/>
      <c r="E592" s="46"/>
      <c r="F592" s="47"/>
      <c r="G592" s="48"/>
      <c r="H592" s="46"/>
      <c r="I592" s="47"/>
      <c r="J592" s="48"/>
      <c r="K592" s="46"/>
      <c r="L592" s="47"/>
      <c r="M592" s="48"/>
      <c r="N592" s="46"/>
      <c r="O592" s="47"/>
      <c r="P592" s="48"/>
      <c r="Q592" s="55"/>
      <c r="R592" s="47"/>
      <c r="S592" s="48"/>
      <c r="T592" s="55"/>
      <c r="U592" s="47"/>
      <c r="V592" s="48"/>
      <c r="W592" s="55"/>
      <c r="X592" s="47"/>
      <c r="Y592" s="48"/>
      <c r="Z592" s="49"/>
      <c r="AA592" s="50"/>
      <c r="AB592" s="51"/>
    </row>
    <row r="593" spans="1:28" ht="13.5" customHeight="1">
      <c r="A593" s="27"/>
      <c r="B593" s="144"/>
      <c r="C593" s="36"/>
      <c r="D593" s="6"/>
      <c r="E593" s="46"/>
      <c r="F593" s="47"/>
      <c r="G593" s="48"/>
      <c r="H593" s="46"/>
      <c r="I593" s="47"/>
      <c r="J593" s="48"/>
      <c r="K593" s="46"/>
      <c r="L593" s="47"/>
      <c r="M593" s="48"/>
      <c r="N593" s="46"/>
      <c r="O593" s="47"/>
      <c r="P593" s="48"/>
      <c r="Q593" s="55"/>
      <c r="R593" s="47"/>
      <c r="S593" s="48"/>
      <c r="T593" s="55"/>
      <c r="U593" s="47"/>
      <c r="V593" s="48"/>
      <c r="W593" s="55"/>
      <c r="X593" s="47"/>
      <c r="Y593" s="48"/>
      <c r="Z593" s="49"/>
      <c r="AA593" s="50"/>
      <c r="AB593" s="51"/>
    </row>
    <row r="594" spans="1:28" ht="13.5" customHeight="1">
      <c r="A594" s="27"/>
      <c r="B594" s="144"/>
      <c r="C594" s="36"/>
      <c r="D594" s="6"/>
      <c r="E594" s="46" t="s">
        <v>1561</v>
      </c>
      <c r="F594" s="47" t="s">
        <v>2744</v>
      </c>
      <c r="G594" s="48">
        <v>10.4</v>
      </c>
      <c r="H594" s="46" t="s">
        <v>1561</v>
      </c>
      <c r="I594" s="47" t="s">
        <v>2744</v>
      </c>
      <c r="J594" s="48">
        <v>11</v>
      </c>
      <c r="K594" s="46" t="s">
        <v>1561</v>
      </c>
      <c r="L594" s="47" t="s">
        <v>2744</v>
      </c>
      <c r="M594" s="48">
        <v>9.9</v>
      </c>
      <c r="N594" s="46" t="s">
        <v>1561</v>
      </c>
      <c r="O594" s="47" t="s">
        <v>2744</v>
      </c>
      <c r="P594" s="48">
        <v>8.1999999999999993</v>
      </c>
      <c r="Q594" s="55" t="s">
        <v>1561</v>
      </c>
      <c r="R594" s="47" t="s">
        <v>1562</v>
      </c>
      <c r="S594" s="48">
        <v>0.2</v>
      </c>
      <c r="T594" s="55" t="s">
        <v>1561</v>
      </c>
      <c r="U594" s="47" t="s">
        <v>1562</v>
      </c>
      <c r="V594" s="48">
        <v>0.4</v>
      </c>
      <c r="W594" s="55" t="s">
        <v>1563</v>
      </c>
      <c r="X594" s="47" t="s">
        <v>2745</v>
      </c>
      <c r="Y594" s="48">
        <v>3.2</v>
      </c>
      <c r="Z594" s="49" t="s">
        <v>1564</v>
      </c>
      <c r="AA594" s="50" t="s">
        <v>1562</v>
      </c>
      <c r="AB594" s="51">
        <v>1.5</v>
      </c>
    </row>
    <row r="595" spans="1:28" ht="13.5" customHeight="1">
      <c r="A595" s="27"/>
      <c r="B595" s="144"/>
      <c r="C595" s="82"/>
      <c r="D595" s="83"/>
      <c r="E595" s="46"/>
      <c r="F595" s="75"/>
      <c r="G595" s="48"/>
      <c r="H595" s="46"/>
      <c r="I595" s="75"/>
      <c r="J595" s="48"/>
      <c r="K595" s="46"/>
      <c r="L595" s="75"/>
      <c r="M595" s="48"/>
      <c r="N595" s="46"/>
      <c r="O595" s="75"/>
      <c r="P595" s="48"/>
      <c r="Q595" s="116" t="s">
        <v>1565</v>
      </c>
      <c r="R595" s="75" t="s">
        <v>1566</v>
      </c>
      <c r="S595" s="77">
        <v>2.5</v>
      </c>
      <c r="T595" s="116" t="s">
        <v>1565</v>
      </c>
      <c r="U595" s="75" t="s">
        <v>1566</v>
      </c>
      <c r="V595" s="77">
        <v>0.2</v>
      </c>
      <c r="W595" s="76"/>
      <c r="X595" s="75"/>
      <c r="Y595" s="77"/>
      <c r="Z595" s="78"/>
      <c r="AA595" s="79"/>
      <c r="AB595" s="80"/>
    </row>
    <row r="596" spans="1:28" ht="13.5" customHeight="1">
      <c r="A596" s="27"/>
      <c r="B596" s="28" t="s">
        <v>1567</v>
      </c>
      <c r="C596" s="21"/>
      <c r="D596" s="6" t="s">
        <v>1568</v>
      </c>
      <c r="E596" s="31" t="s">
        <v>1569</v>
      </c>
      <c r="F596" s="63"/>
      <c r="G596" s="33">
        <f>G597</f>
        <v>36.1</v>
      </c>
      <c r="H596" s="31" t="s">
        <v>1569</v>
      </c>
      <c r="I596" s="63"/>
      <c r="J596" s="33">
        <f>J597</f>
        <v>37.299999999999997</v>
      </c>
      <c r="K596" s="31" t="s">
        <v>1569</v>
      </c>
      <c r="L596" s="63"/>
      <c r="M596" s="33">
        <f>M597</f>
        <v>43.5</v>
      </c>
      <c r="N596" s="31" t="s">
        <v>1569</v>
      </c>
      <c r="O596" s="63"/>
      <c r="P596" s="33">
        <f>P597</f>
        <v>46.5</v>
      </c>
      <c r="Q596" s="31" t="s">
        <v>1569</v>
      </c>
      <c r="R596" s="63"/>
      <c r="S596" s="33">
        <f>S597</f>
        <v>56.3</v>
      </c>
      <c r="T596" s="31" t="s">
        <v>1569</v>
      </c>
      <c r="U596" s="63"/>
      <c r="V596" s="33">
        <f>V597</f>
        <v>57.1</v>
      </c>
      <c r="W596" s="62"/>
      <c r="X596" s="63"/>
      <c r="Y596" s="33">
        <f>Y597</f>
        <v>56.499999999999993</v>
      </c>
      <c r="Z596" s="65"/>
      <c r="AA596" s="66"/>
      <c r="AB596" s="33">
        <f>AB597</f>
        <v>45.8</v>
      </c>
    </row>
    <row r="597" spans="1:28" ht="13.5" customHeight="1">
      <c r="A597" s="27"/>
      <c r="B597" s="144"/>
      <c r="C597" s="28" t="s">
        <v>1570</v>
      </c>
      <c r="D597" s="30" t="s">
        <v>1568</v>
      </c>
      <c r="E597" s="37" t="s">
        <v>1571</v>
      </c>
      <c r="F597" s="71"/>
      <c r="G597" s="39">
        <f>SUM(G598:G611)</f>
        <v>36.1</v>
      </c>
      <c r="H597" s="37" t="s">
        <v>1571</v>
      </c>
      <c r="I597" s="71"/>
      <c r="J597" s="39">
        <f>SUM(J598:J611)</f>
        <v>37.299999999999997</v>
      </c>
      <c r="K597" s="37" t="s">
        <v>1571</v>
      </c>
      <c r="L597" s="71"/>
      <c r="M597" s="39">
        <f>SUM(M598:M611)</f>
        <v>43.5</v>
      </c>
      <c r="N597" s="37" t="s">
        <v>1571</v>
      </c>
      <c r="O597" s="71"/>
      <c r="P597" s="39">
        <f>SUM(P598:P611)</f>
        <v>46.5</v>
      </c>
      <c r="Q597" s="37" t="s">
        <v>1571</v>
      </c>
      <c r="R597" s="71"/>
      <c r="S597" s="39">
        <f>SUM(S598:S610)</f>
        <v>56.3</v>
      </c>
      <c r="T597" s="37" t="s">
        <v>1571</v>
      </c>
      <c r="U597" s="71"/>
      <c r="V597" s="39">
        <f>SUM(V598:V611)</f>
        <v>57.1</v>
      </c>
      <c r="W597" s="72"/>
      <c r="X597" s="71"/>
      <c r="Y597" s="39">
        <f>SUM(Y598:Y610)</f>
        <v>56.499999999999993</v>
      </c>
      <c r="Z597" s="42"/>
      <c r="AA597" s="43"/>
      <c r="AB597" s="39">
        <f>SUM(AB598:AB610)</f>
        <v>45.8</v>
      </c>
    </row>
    <row r="598" spans="1:28" ht="13.5" customHeight="1">
      <c r="A598" s="27"/>
      <c r="B598" s="144"/>
      <c r="C598" s="21"/>
      <c r="D598" s="45"/>
      <c r="E598" s="46" t="s">
        <v>1572</v>
      </c>
      <c r="F598" s="113" t="s">
        <v>2746</v>
      </c>
      <c r="G598" s="48">
        <v>0.4</v>
      </c>
      <c r="H598" s="46" t="s">
        <v>1572</v>
      </c>
      <c r="I598" s="113" t="s">
        <v>2746</v>
      </c>
      <c r="J598" s="48">
        <v>0.6</v>
      </c>
      <c r="K598" s="46" t="s">
        <v>1572</v>
      </c>
      <c r="L598" s="113" t="s">
        <v>2746</v>
      </c>
      <c r="M598" s="48">
        <v>1.4</v>
      </c>
      <c r="N598" s="46" t="s">
        <v>1572</v>
      </c>
      <c r="O598" s="113" t="s">
        <v>2746</v>
      </c>
      <c r="P598" s="48">
        <v>2.1</v>
      </c>
      <c r="Q598" s="55" t="s">
        <v>1572</v>
      </c>
      <c r="R598" s="113" t="s">
        <v>1573</v>
      </c>
      <c r="S598" s="48">
        <v>1.7</v>
      </c>
      <c r="T598" s="55" t="s">
        <v>1572</v>
      </c>
      <c r="U598" s="113" t="s">
        <v>1573</v>
      </c>
      <c r="V598" s="48">
        <v>3.4</v>
      </c>
      <c r="W598" s="55" t="s">
        <v>1574</v>
      </c>
      <c r="X598" s="113" t="s">
        <v>2747</v>
      </c>
      <c r="Y598" s="48">
        <v>2.2000000000000002</v>
      </c>
      <c r="Z598" s="49" t="s">
        <v>1575</v>
      </c>
      <c r="AA598" s="50" t="s">
        <v>1576</v>
      </c>
      <c r="AB598" s="51">
        <v>1.5</v>
      </c>
    </row>
    <row r="599" spans="1:28" ht="13.5" customHeight="1">
      <c r="A599" s="27"/>
      <c r="B599" s="138"/>
      <c r="C599" s="36"/>
      <c r="D599" s="6"/>
      <c r="E599" s="46"/>
      <c r="F599" s="47"/>
      <c r="G599" s="48"/>
      <c r="H599" s="46"/>
      <c r="I599" s="47"/>
      <c r="J599" s="48"/>
      <c r="K599" s="46"/>
      <c r="L599" s="47"/>
      <c r="M599" s="48"/>
      <c r="N599" s="46"/>
      <c r="O599" s="47"/>
      <c r="P599" s="48"/>
      <c r="Q599" s="55"/>
      <c r="R599" s="47"/>
      <c r="S599" s="48"/>
      <c r="T599" s="55"/>
      <c r="U599" s="47"/>
      <c r="V599" s="48"/>
      <c r="W599" s="55" t="s">
        <v>1448</v>
      </c>
      <c r="X599" s="47" t="s">
        <v>2748</v>
      </c>
      <c r="Y599" s="48">
        <v>1.6</v>
      </c>
      <c r="Z599" s="49" t="s">
        <v>1577</v>
      </c>
      <c r="AA599" s="50" t="s">
        <v>1578</v>
      </c>
      <c r="AB599" s="51">
        <v>4</v>
      </c>
    </row>
    <row r="600" spans="1:28" ht="13.5" customHeight="1">
      <c r="A600" s="27"/>
      <c r="B600" s="44"/>
      <c r="C600" s="36"/>
      <c r="D600" s="6"/>
      <c r="E600" s="46"/>
      <c r="F600" s="47"/>
      <c r="G600" s="48"/>
      <c r="H600" s="46"/>
      <c r="I600" s="47"/>
      <c r="J600" s="48"/>
      <c r="K600" s="46"/>
      <c r="L600" s="47"/>
      <c r="M600" s="48"/>
      <c r="N600" s="46"/>
      <c r="O600" s="47"/>
      <c r="P600" s="48"/>
      <c r="Q600" s="55"/>
      <c r="R600" s="47"/>
      <c r="S600" s="48"/>
      <c r="T600" s="55"/>
      <c r="U600" s="47"/>
      <c r="V600" s="48"/>
      <c r="W600" s="55" t="s">
        <v>1579</v>
      </c>
      <c r="X600" s="47" t="s">
        <v>2749</v>
      </c>
      <c r="Y600" s="48">
        <v>2.1</v>
      </c>
      <c r="Z600" s="49" t="s">
        <v>1580</v>
      </c>
      <c r="AA600" s="50" t="s">
        <v>1581</v>
      </c>
      <c r="AB600" s="51">
        <v>2.6</v>
      </c>
    </row>
    <row r="601" spans="1:28" ht="13.5" customHeight="1">
      <c r="A601" s="27"/>
      <c r="B601" s="44"/>
      <c r="C601" s="36"/>
      <c r="D601" s="6"/>
      <c r="E601" s="46"/>
      <c r="F601" s="47"/>
      <c r="G601" s="48"/>
      <c r="H601" s="46"/>
      <c r="I601" s="47"/>
      <c r="J601" s="48"/>
      <c r="K601" s="46"/>
      <c r="L601" s="47"/>
      <c r="M601" s="48"/>
      <c r="N601" s="46"/>
      <c r="O601" s="47"/>
      <c r="P601" s="48"/>
      <c r="Q601" s="55"/>
      <c r="R601" s="47"/>
      <c r="S601" s="48"/>
      <c r="T601" s="55"/>
      <c r="U601" s="47"/>
      <c r="V601" s="48"/>
      <c r="W601" s="55" t="s">
        <v>1582</v>
      </c>
      <c r="X601" s="47" t="s">
        <v>2750</v>
      </c>
      <c r="Y601" s="48">
        <v>1.4</v>
      </c>
      <c r="Z601" s="49" t="s">
        <v>1583</v>
      </c>
      <c r="AA601" s="50" t="s">
        <v>1584</v>
      </c>
      <c r="AB601" s="51">
        <v>1.5</v>
      </c>
    </row>
    <row r="602" spans="1:28" ht="13.5" customHeight="1">
      <c r="A602" s="27"/>
      <c r="B602" s="44"/>
      <c r="C602" s="36"/>
      <c r="D602" s="6"/>
      <c r="E602" s="46"/>
      <c r="F602" s="47"/>
      <c r="G602" s="48"/>
      <c r="H602" s="46"/>
      <c r="I602" s="47"/>
      <c r="J602" s="48"/>
      <c r="K602" s="46"/>
      <c r="L602" s="47"/>
      <c r="M602" s="48"/>
      <c r="N602" s="46"/>
      <c r="O602" s="47"/>
      <c r="P602" s="48"/>
      <c r="Q602" s="55"/>
      <c r="R602" s="47"/>
      <c r="S602" s="48"/>
      <c r="T602" s="55"/>
      <c r="U602" s="47"/>
      <c r="V602" s="48"/>
      <c r="W602" s="55" t="s">
        <v>1585</v>
      </c>
      <c r="X602" s="47" t="s">
        <v>2751</v>
      </c>
      <c r="Y602" s="48">
        <v>3.2</v>
      </c>
      <c r="Z602" s="49" t="s">
        <v>1586</v>
      </c>
      <c r="AA602" s="50" t="s">
        <v>1587</v>
      </c>
      <c r="AB602" s="51">
        <v>6.1</v>
      </c>
    </row>
    <row r="603" spans="1:28" ht="13.5" customHeight="1">
      <c r="A603" s="27"/>
      <c r="B603" s="44"/>
      <c r="C603" s="36"/>
      <c r="D603" s="6"/>
      <c r="E603" s="46"/>
      <c r="F603" s="47"/>
      <c r="G603" s="48"/>
      <c r="H603" s="46"/>
      <c r="I603" s="47"/>
      <c r="J603" s="48"/>
      <c r="K603" s="46"/>
      <c r="L603" s="47"/>
      <c r="M603" s="48"/>
      <c r="N603" s="46"/>
      <c r="O603" s="47"/>
      <c r="P603" s="48"/>
      <c r="Q603" s="55"/>
      <c r="R603" s="47"/>
      <c r="S603" s="48"/>
      <c r="T603" s="55"/>
      <c r="U603" s="47"/>
      <c r="V603" s="48"/>
      <c r="W603" s="55" t="s">
        <v>1588</v>
      </c>
      <c r="X603" s="47" t="s">
        <v>2752</v>
      </c>
      <c r="Y603" s="48">
        <v>0.5</v>
      </c>
      <c r="Z603" s="49" t="s">
        <v>1589</v>
      </c>
      <c r="AA603" s="50" t="s">
        <v>1590</v>
      </c>
      <c r="AB603" s="51">
        <v>0.4</v>
      </c>
    </row>
    <row r="604" spans="1:28" ht="13.5" customHeight="1">
      <c r="A604" s="27"/>
      <c r="B604" s="44"/>
      <c r="C604" s="36"/>
      <c r="D604" s="6"/>
      <c r="E604" s="46"/>
      <c r="F604" s="47"/>
      <c r="G604" s="48"/>
      <c r="H604" s="46"/>
      <c r="I604" s="47"/>
      <c r="J604" s="48"/>
      <c r="K604" s="46"/>
      <c r="L604" s="47"/>
      <c r="M604" s="48"/>
      <c r="N604" s="46"/>
      <c r="O604" s="47"/>
      <c r="P604" s="48"/>
      <c r="Q604" s="55"/>
      <c r="R604" s="47"/>
      <c r="S604" s="48"/>
      <c r="T604" s="55"/>
      <c r="U604" s="47"/>
      <c r="V604" s="48"/>
      <c r="W604" s="55" t="s">
        <v>1591</v>
      </c>
      <c r="X604" s="47" t="s">
        <v>2753</v>
      </c>
      <c r="Y604" s="48">
        <v>0.3</v>
      </c>
      <c r="Z604" s="49" t="s">
        <v>1592</v>
      </c>
      <c r="AA604" s="50" t="s">
        <v>1593</v>
      </c>
      <c r="AB604" s="51">
        <v>0.4</v>
      </c>
    </row>
    <row r="605" spans="1:28" ht="13.5" customHeight="1">
      <c r="A605" s="27"/>
      <c r="B605" s="44"/>
      <c r="C605" s="36"/>
      <c r="D605" s="6"/>
      <c r="E605" s="46"/>
      <c r="F605" s="47"/>
      <c r="G605" s="48"/>
      <c r="H605" s="46"/>
      <c r="I605" s="47"/>
      <c r="J605" s="48"/>
      <c r="K605" s="46"/>
      <c r="L605" s="47"/>
      <c r="M605" s="48"/>
      <c r="N605" s="46"/>
      <c r="O605" s="47"/>
      <c r="P605" s="48"/>
      <c r="Q605" s="55" t="s">
        <v>1594</v>
      </c>
      <c r="R605" s="47" t="s">
        <v>1595</v>
      </c>
      <c r="S605" s="48">
        <v>1.8</v>
      </c>
      <c r="T605" s="55" t="s">
        <v>1594</v>
      </c>
      <c r="U605" s="47" t="s">
        <v>1595</v>
      </c>
      <c r="V605" s="48">
        <v>2.1</v>
      </c>
      <c r="W605" s="55"/>
      <c r="X605" s="47"/>
      <c r="Y605" s="48"/>
      <c r="Z605" s="49"/>
      <c r="AA605" s="50"/>
      <c r="AB605" s="51"/>
    </row>
    <row r="606" spans="1:28" ht="13.5" customHeight="1">
      <c r="A606" s="27"/>
      <c r="B606" s="44"/>
      <c r="C606" s="36"/>
      <c r="D606" s="6"/>
      <c r="E606" s="46" t="s">
        <v>1596</v>
      </c>
      <c r="F606" s="47" t="s">
        <v>2754</v>
      </c>
      <c r="G606" s="48">
        <v>29.8</v>
      </c>
      <c r="H606" s="46" t="s">
        <v>1596</v>
      </c>
      <c r="I606" s="47" t="s">
        <v>2754</v>
      </c>
      <c r="J606" s="48">
        <v>31.2</v>
      </c>
      <c r="K606" s="46" t="s">
        <v>1596</v>
      </c>
      <c r="L606" s="47" t="s">
        <v>2754</v>
      </c>
      <c r="M606" s="48">
        <v>36.1</v>
      </c>
      <c r="N606" s="46" t="s">
        <v>1596</v>
      </c>
      <c r="O606" s="47" t="s">
        <v>2754</v>
      </c>
      <c r="P606" s="48">
        <v>38.299999999999997</v>
      </c>
      <c r="Q606" s="55" t="s">
        <v>1596</v>
      </c>
      <c r="R606" s="47" t="s">
        <v>1597</v>
      </c>
      <c r="S606" s="48">
        <v>11.4</v>
      </c>
      <c r="T606" s="55" t="s">
        <v>1596</v>
      </c>
      <c r="U606" s="47" t="s">
        <v>1597</v>
      </c>
      <c r="V606" s="48">
        <v>26.7</v>
      </c>
      <c r="W606" s="55" t="s">
        <v>1598</v>
      </c>
      <c r="X606" s="47" t="s">
        <v>2755</v>
      </c>
      <c r="Y606" s="48">
        <v>33.799999999999997</v>
      </c>
      <c r="Z606" s="49" t="s">
        <v>1599</v>
      </c>
      <c r="AA606" s="50" t="s">
        <v>1597</v>
      </c>
      <c r="AB606" s="51">
        <v>23.7</v>
      </c>
    </row>
    <row r="607" spans="1:28" ht="13.5" customHeight="1">
      <c r="A607" s="27"/>
      <c r="B607" s="44"/>
      <c r="C607" s="36"/>
      <c r="D607" s="6"/>
      <c r="E607" s="46"/>
      <c r="F607" s="47"/>
      <c r="G607" s="48"/>
      <c r="H607" s="46"/>
      <c r="I607" s="47"/>
      <c r="J607" s="48"/>
      <c r="K607" s="46"/>
      <c r="L607" s="47"/>
      <c r="M607" s="48"/>
      <c r="N607" s="46"/>
      <c r="O607" s="47"/>
      <c r="P607" s="48"/>
      <c r="Q607" s="55" t="s">
        <v>1600</v>
      </c>
      <c r="R607" s="47" t="s">
        <v>1601</v>
      </c>
      <c r="S607" s="70">
        <v>33.9</v>
      </c>
      <c r="T607" s="55"/>
      <c r="U607" s="47"/>
      <c r="V607" s="70"/>
      <c r="W607" s="240" t="s">
        <v>1602</v>
      </c>
      <c r="X607" s="155" t="s">
        <v>2756</v>
      </c>
      <c r="Y607" s="157">
        <v>5.0999999999999996</v>
      </c>
      <c r="Z607" s="158" t="s">
        <v>1603</v>
      </c>
      <c r="AA607" s="159" t="s">
        <v>1604</v>
      </c>
      <c r="AB607" s="160">
        <v>1.6</v>
      </c>
    </row>
    <row r="608" spans="1:28" ht="13.5" customHeight="1">
      <c r="A608" s="27"/>
      <c r="B608" s="44"/>
      <c r="C608" s="36"/>
      <c r="D608" s="6"/>
      <c r="E608" s="46"/>
      <c r="F608" s="47"/>
      <c r="G608" s="48"/>
      <c r="H608" s="46"/>
      <c r="I608" s="47"/>
      <c r="J608" s="48"/>
      <c r="K608" s="46"/>
      <c r="L608" s="47"/>
      <c r="M608" s="48"/>
      <c r="N608" s="46"/>
      <c r="O608" s="47"/>
      <c r="P608" s="48"/>
      <c r="Q608" s="55"/>
      <c r="R608" s="47"/>
      <c r="S608" s="70"/>
      <c r="T608" s="55" t="s">
        <v>1600</v>
      </c>
      <c r="U608" s="47" t="s">
        <v>1601</v>
      </c>
      <c r="V608" s="70">
        <v>16.399999999999999</v>
      </c>
      <c r="W608" s="241"/>
      <c r="X608" s="56"/>
      <c r="Y608" s="58"/>
      <c r="Z608" s="59"/>
      <c r="AA608" s="60"/>
      <c r="AB608" s="61"/>
    </row>
    <row r="609" spans="1:28" ht="13.5" customHeight="1">
      <c r="A609" s="27"/>
      <c r="B609" s="44"/>
      <c r="C609" s="36"/>
      <c r="D609" s="6"/>
      <c r="E609" s="46"/>
      <c r="F609" s="47"/>
      <c r="G609" s="48"/>
      <c r="H609" s="46"/>
      <c r="I609" s="47"/>
      <c r="J609" s="48"/>
      <c r="K609" s="46"/>
      <c r="L609" s="47"/>
      <c r="M609" s="48"/>
      <c r="N609" s="46"/>
      <c r="O609" s="47"/>
      <c r="P609" s="48"/>
      <c r="Q609" s="55"/>
      <c r="R609" s="47"/>
      <c r="S609" s="48"/>
      <c r="T609" s="55"/>
      <c r="U609" s="47"/>
      <c r="V609" s="48"/>
      <c r="W609" s="55"/>
      <c r="X609" s="47"/>
      <c r="Y609" s="48"/>
      <c r="Z609" s="49"/>
      <c r="AA609" s="50"/>
      <c r="AB609" s="51"/>
    </row>
    <row r="610" spans="1:28" ht="13.5" customHeight="1">
      <c r="A610" s="27"/>
      <c r="B610" s="44"/>
      <c r="C610" s="36"/>
      <c r="D610" s="6"/>
      <c r="E610" s="46" t="s">
        <v>1600</v>
      </c>
      <c r="F610" s="47" t="s">
        <v>1605</v>
      </c>
      <c r="G610" s="48">
        <v>5.5</v>
      </c>
      <c r="H610" s="46" t="s">
        <v>1600</v>
      </c>
      <c r="I610" s="47" t="s">
        <v>1605</v>
      </c>
      <c r="J610" s="48">
        <v>5.0999999999999996</v>
      </c>
      <c r="K610" s="46" t="s">
        <v>1600</v>
      </c>
      <c r="L610" s="47" t="s">
        <v>1605</v>
      </c>
      <c r="M610" s="48">
        <v>5.6</v>
      </c>
      <c r="N610" s="46" t="s">
        <v>1600</v>
      </c>
      <c r="O610" s="47" t="s">
        <v>1605</v>
      </c>
      <c r="P610" s="48">
        <v>5.7</v>
      </c>
      <c r="Q610" s="55" t="s">
        <v>1606</v>
      </c>
      <c r="R610" s="47" t="s">
        <v>1605</v>
      </c>
      <c r="S610" s="48">
        <v>7.5</v>
      </c>
      <c r="T610" s="55" t="s">
        <v>1606</v>
      </c>
      <c r="U610" s="47" t="s">
        <v>1605</v>
      </c>
      <c r="V610" s="48">
        <v>8.5</v>
      </c>
      <c r="W610" s="55" t="s">
        <v>1607</v>
      </c>
      <c r="X610" s="47" t="s">
        <v>2757</v>
      </c>
      <c r="Y610" s="48">
        <v>6.3</v>
      </c>
      <c r="Z610" s="49" t="s">
        <v>1608</v>
      </c>
      <c r="AA610" s="50" t="s">
        <v>1609</v>
      </c>
      <c r="AB610" s="51">
        <v>4</v>
      </c>
    </row>
    <row r="611" spans="1:28" ht="13.5" customHeight="1">
      <c r="A611" s="27"/>
      <c r="B611" s="44"/>
      <c r="C611" s="82"/>
      <c r="D611" s="83"/>
      <c r="E611" s="46" t="s">
        <v>1594</v>
      </c>
      <c r="F611" s="56" t="s">
        <v>2758</v>
      </c>
      <c r="G611" s="48">
        <v>0.4</v>
      </c>
      <c r="H611" s="46" t="s">
        <v>1594</v>
      </c>
      <c r="I611" s="56" t="s">
        <v>2758</v>
      </c>
      <c r="J611" s="48">
        <v>0.4</v>
      </c>
      <c r="K611" s="46" t="s">
        <v>1594</v>
      </c>
      <c r="L611" s="56" t="s">
        <v>2758</v>
      </c>
      <c r="M611" s="48">
        <v>0.4</v>
      </c>
      <c r="N611" s="46" t="s">
        <v>1594</v>
      </c>
      <c r="O611" s="56" t="s">
        <v>2758</v>
      </c>
      <c r="P611" s="48">
        <v>0.4</v>
      </c>
      <c r="Q611" s="116"/>
      <c r="R611" s="75"/>
      <c r="S611" s="77"/>
      <c r="T611" s="116"/>
      <c r="U611" s="75"/>
      <c r="V611" s="77"/>
      <c r="W611" s="116"/>
      <c r="X611" s="75"/>
      <c r="Y611" s="77"/>
      <c r="Z611" s="78"/>
      <c r="AA611" s="79"/>
      <c r="AB611" s="80"/>
    </row>
    <row r="612" spans="1:28" ht="13.5" customHeight="1">
      <c r="A612" s="85" t="s">
        <v>1610</v>
      </c>
      <c r="B612" s="29"/>
      <c r="C612" s="21"/>
      <c r="D612" s="6" t="s">
        <v>1611</v>
      </c>
      <c r="E612" s="215"/>
      <c r="F612" s="239"/>
      <c r="G612" s="100">
        <f>SUM(G613,G635,G643,G659,G690,G725)</f>
        <v>62.899999999999991</v>
      </c>
      <c r="H612" s="215"/>
      <c r="I612" s="239"/>
      <c r="J612" s="100">
        <f>SUM(J613,J635,J643,J659,J690,J725)</f>
        <v>57.499999999999993</v>
      </c>
      <c r="K612" s="215"/>
      <c r="L612" s="239"/>
      <c r="M612" s="100">
        <f>SUM(M613,M635,M643,M659,M690,M725)</f>
        <v>61.199999999999996</v>
      </c>
      <c r="N612" s="215"/>
      <c r="O612" s="239"/>
      <c r="P612" s="100">
        <f>SUM(P613,P635,P643,P659,P690,P725)</f>
        <v>57.2</v>
      </c>
      <c r="Q612" s="162"/>
      <c r="R612" s="185"/>
      <c r="S612" s="124">
        <f>SUM(S613,S635,S643,S659,S690,S725)</f>
        <v>53</v>
      </c>
      <c r="T612" s="162"/>
      <c r="U612" s="185"/>
      <c r="V612" s="124">
        <f>SUM(V613,V635,V643,V659,V690,V725)</f>
        <v>53</v>
      </c>
      <c r="W612" s="162"/>
      <c r="X612" s="185"/>
      <c r="Y612" s="124">
        <f>SUM(Y613,Y635,Y643,Y659,Y690,Y725)</f>
        <v>53.6</v>
      </c>
      <c r="Z612" s="65"/>
      <c r="AA612" s="66"/>
      <c r="AB612" s="124">
        <f>SUM(AB613,AB635,AB643,AB659,AB690,AB725)</f>
        <v>54.29999999999999</v>
      </c>
    </row>
    <row r="613" spans="1:28" ht="13.5" customHeight="1">
      <c r="A613" s="104"/>
      <c r="B613" s="28" t="s">
        <v>1612</v>
      </c>
      <c r="C613" s="29"/>
      <c r="D613" s="30" t="s">
        <v>1613</v>
      </c>
      <c r="E613" s="31" t="s">
        <v>1614</v>
      </c>
      <c r="F613" s="195"/>
      <c r="G613" s="33">
        <f>G614+G623</f>
        <v>7.8999999999999995</v>
      </c>
      <c r="H613" s="31" t="s">
        <v>1614</v>
      </c>
      <c r="I613" s="195"/>
      <c r="J613" s="33">
        <f>J614+J623</f>
        <v>9.6</v>
      </c>
      <c r="K613" s="31" t="s">
        <v>1614</v>
      </c>
      <c r="L613" s="195"/>
      <c r="M613" s="33">
        <f>M614+M623</f>
        <v>6.3</v>
      </c>
      <c r="N613" s="31" t="s">
        <v>1614</v>
      </c>
      <c r="O613" s="195"/>
      <c r="P613" s="33">
        <f>P614+P623</f>
        <v>5.6000000000000005</v>
      </c>
      <c r="Q613" s="31" t="s">
        <v>1614</v>
      </c>
      <c r="R613" s="195"/>
      <c r="S613" s="33">
        <f>S614+S623</f>
        <v>7.7</v>
      </c>
      <c r="T613" s="31" t="s">
        <v>1614</v>
      </c>
      <c r="U613" s="195"/>
      <c r="V613" s="33">
        <f>V614+V623</f>
        <v>9.5</v>
      </c>
      <c r="W613" s="196"/>
      <c r="X613" s="195"/>
      <c r="Y613" s="33">
        <f>Y614+Y623</f>
        <v>9.3000000000000007</v>
      </c>
      <c r="Z613" s="120"/>
      <c r="AA613" s="121"/>
      <c r="AB613" s="33">
        <f>AB614+AB623</f>
        <v>14.399999999999999</v>
      </c>
    </row>
    <row r="614" spans="1:28" ht="13.5" customHeight="1">
      <c r="A614" s="104"/>
      <c r="B614" s="197"/>
      <c r="C614" s="28" t="s">
        <v>1615</v>
      </c>
      <c r="D614" s="30" t="s">
        <v>1616</v>
      </c>
      <c r="E614" s="37" t="s">
        <v>1617</v>
      </c>
      <c r="F614" s="186"/>
      <c r="G614" s="39">
        <f>SUM(G615:G622)</f>
        <v>2.8</v>
      </c>
      <c r="H614" s="37" t="s">
        <v>1617</v>
      </c>
      <c r="I614" s="186"/>
      <c r="J614" s="39">
        <f>SUM(J615:J622)</f>
        <v>3.6</v>
      </c>
      <c r="K614" s="37" t="s">
        <v>1617</v>
      </c>
      <c r="L614" s="186"/>
      <c r="M614" s="39">
        <f>SUM(M615:M622)</f>
        <v>2.6999999999999997</v>
      </c>
      <c r="N614" s="37" t="s">
        <v>1617</v>
      </c>
      <c r="O614" s="186"/>
      <c r="P614" s="39">
        <f>SUM(P615:P622)</f>
        <v>2.6</v>
      </c>
      <c r="Q614" s="37" t="s">
        <v>1617</v>
      </c>
      <c r="R614" s="186"/>
      <c r="S614" s="39">
        <f>SUM(S615:S622)</f>
        <v>3.8</v>
      </c>
      <c r="T614" s="37" t="s">
        <v>1617</v>
      </c>
      <c r="U614" s="186"/>
      <c r="V614" s="39">
        <f>SUM(V615:V622)</f>
        <v>4.7</v>
      </c>
      <c r="W614" s="97"/>
      <c r="X614" s="186"/>
      <c r="Y614" s="39">
        <f>SUM(Y615:Y622)</f>
        <v>4</v>
      </c>
      <c r="Z614" s="42"/>
      <c r="AA614" s="43"/>
      <c r="AB614" s="39">
        <f>SUM(AB615:AB622)</f>
        <v>3.5</v>
      </c>
    </row>
    <row r="615" spans="1:28" ht="13.5" customHeight="1">
      <c r="A615" s="27"/>
      <c r="B615" s="144"/>
      <c r="C615" s="21"/>
      <c r="D615" s="45"/>
      <c r="E615" s="46" t="s">
        <v>1619</v>
      </c>
      <c r="F615" s="113" t="s">
        <v>1618</v>
      </c>
      <c r="G615" s="48">
        <v>1.9</v>
      </c>
      <c r="H615" s="46" t="s">
        <v>1619</v>
      </c>
      <c r="I615" s="113" t="s">
        <v>1618</v>
      </c>
      <c r="J615" s="48">
        <v>2.7</v>
      </c>
      <c r="K615" s="46" t="s">
        <v>1619</v>
      </c>
      <c r="L615" s="113" t="s">
        <v>1618</v>
      </c>
      <c r="M615" s="48">
        <v>2.1</v>
      </c>
      <c r="N615" s="46" t="s">
        <v>1619</v>
      </c>
      <c r="O615" s="113" t="s">
        <v>1618</v>
      </c>
      <c r="P615" s="48">
        <v>1.7</v>
      </c>
      <c r="Q615" s="46" t="s">
        <v>1619</v>
      </c>
      <c r="R615" s="113" t="s">
        <v>1618</v>
      </c>
      <c r="S615" s="48">
        <v>2.9</v>
      </c>
      <c r="T615" s="46" t="s">
        <v>1619</v>
      </c>
      <c r="U615" s="113" t="s">
        <v>1618</v>
      </c>
      <c r="V615" s="48">
        <v>2.9</v>
      </c>
      <c r="W615" s="46" t="s">
        <v>1491</v>
      </c>
      <c r="X615" s="113" t="s">
        <v>2759</v>
      </c>
      <c r="Y615" s="48">
        <v>2.1</v>
      </c>
      <c r="Z615" s="49" t="s">
        <v>1558</v>
      </c>
      <c r="AA615" s="50" t="s">
        <v>1618</v>
      </c>
      <c r="AB615" s="51">
        <v>1.5</v>
      </c>
    </row>
    <row r="616" spans="1:28" ht="13.5" customHeight="1">
      <c r="A616" s="27"/>
      <c r="B616" s="44"/>
      <c r="C616" s="44"/>
      <c r="D616" s="6"/>
      <c r="E616" s="46" t="s">
        <v>1620</v>
      </c>
      <c r="F616" s="47" t="s">
        <v>2760</v>
      </c>
      <c r="G616" s="48">
        <v>0.9</v>
      </c>
      <c r="H616" s="46" t="s">
        <v>1620</v>
      </c>
      <c r="I616" s="47" t="s">
        <v>2760</v>
      </c>
      <c r="J616" s="48">
        <v>0.9</v>
      </c>
      <c r="K616" s="46" t="s">
        <v>1620</v>
      </c>
      <c r="L616" s="47" t="s">
        <v>2760</v>
      </c>
      <c r="M616" s="48">
        <v>0.3</v>
      </c>
      <c r="N616" s="46" t="s">
        <v>1620</v>
      </c>
      <c r="O616" s="47" t="s">
        <v>2760</v>
      </c>
      <c r="P616" s="48">
        <v>0.4</v>
      </c>
      <c r="Q616" s="46" t="s">
        <v>1620</v>
      </c>
      <c r="R616" s="47" t="s">
        <v>2761</v>
      </c>
      <c r="S616" s="48">
        <v>0.4</v>
      </c>
      <c r="T616" s="46" t="s">
        <v>1620</v>
      </c>
      <c r="U616" s="47" t="s">
        <v>2761</v>
      </c>
      <c r="V616" s="48">
        <v>0.9</v>
      </c>
      <c r="W616" s="46" t="s">
        <v>1493</v>
      </c>
      <c r="X616" s="47" t="s">
        <v>2762</v>
      </c>
      <c r="Y616" s="48">
        <v>0.7</v>
      </c>
      <c r="Z616" s="49" t="s">
        <v>1563</v>
      </c>
      <c r="AA616" s="50" t="s">
        <v>1621</v>
      </c>
      <c r="AB616" s="51">
        <v>0.6</v>
      </c>
    </row>
    <row r="617" spans="1:28" ht="13.5" customHeight="1">
      <c r="A617" s="27"/>
      <c r="B617" s="44"/>
      <c r="C617" s="44"/>
      <c r="D617" s="6"/>
      <c r="E617" s="46"/>
      <c r="F617" s="47"/>
      <c r="G617" s="48"/>
      <c r="H617" s="46"/>
      <c r="I617" s="47"/>
      <c r="J617" s="48"/>
      <c r="K617" s="46"/>
      <c r="L617" s="47"/>
      <c r="M617" s="48"/>
      <c r="N617" s="46"/>
      <c r="O617" s="47"/>
      <c r="P617" s="48"/>
      <c r="Q617" s="46"/>
      <c r="R617" s="47"/>
      <c r="S617" s="48"/>
      <c r="T617" s="46"/>
      <c r="U617" s="47"/>
      <c r="V617" s="48"/>
      <c r="W617" s="46"/>
      <c r="X617" s="47"/>
      <c r="Y617" s="48"/>
      <c r="Z617" s="49"/>
      <c r="AA617" s="50"/>
      <c r="AB617" s="51"/>
    </row>
    <row r="618" spans="1:28" ht="13.5" customHeight="1">
      <c r="A618" s="27"/>
      <c r="B618" s="44"/>
      <c r="C618" s="36"/>
      <c r="D618" s="6"/>
      <c r="E618" s="46"/>
      <c r="F618" s="47"/>
      <c r="G618" s="48"/>
      <c r="H618" s="46"/>
      <c r="I618" s="47"/>
      <c r="J618" s="48"/>
      <c r="K618" s="46"/>
      <c r="L618" s="47"/>
      <c r="M618" s="48"/>
      <c r="N618" s="46"/>
      <c r="O618" s="47"/>
      <c r="P618" s="48"/>
      <c r="Q618" s="46"/>
      <c r="R618" s="47"/>
      <c r="S618" s="48"/>
      <c r="T618" s="46"/>
      <c r="U618" s="47"/>
      <c r="V618" s="48"/>
      <c r="W618" s="46"/>
      <c r="X618" s="47"/>
      <c r="Y618" s="48"/>
      <c r="Z618" s="49" t="s">
        <v>1622</v>
      </c>
      <c r="AA618" s="50" t="s">
        <v>1623</v>
      </c>
      <c r="AB618" s="51">
        <v>0.5</v>
      </c>
    </row>
    <row r="619" spans="1:28" ht="13.5" customHeight="1">
      <c r="A619" s="27"/>
      <c r="B619" s="44"/>
      <c r="C619" s="36"/>
      <c r="D619" s="6"/>
      <c r="E619" s="46"/>
      <c r="F619" s="47"/>
      <c r="G619" s="48"/>
      <c r="H619" s="46"/>
      <c r="I619" s="47"/>
      <c r="J619" s="48"/>
      <c r="K619" s="46"/>
      <c r="L619" s="47"/>
      <c r="M619" s="48"/>
      <c r="N619" s="46"/>
      <c r="O619" s="47"/>
      <c r="P619" s="48"/>
      <c r="Q619" s="46"/>
      <c r="R619" s="47"/>
      <c r="S619" s="48"/>
      <c r="T619" s="46"/>
      <c r="U619" s="47"/>
      <c r="V619" s="48"/>
      <c r="W619" s="46"/>
      <c r="X619" s="47"/>
      <c r="Y619" s="48"/>
      <c r="Z619" s="49"/>
      <c r="AA619" s="50"/>
      <c r="AB619" s="51"/>
    </row>
    <row r="620" spans="1:28" ht="13.5" customHeight="1">
      <c r="A620" s="27"/>
      <c r="B620" s="44"/>
      <c r="C620" s="36"/>
      <c r="D620" s="6"/>
      <c r="E620" s="46"/>
      <c r="F620" s="47"/>
      <c r="G620" s="48"/>
      <c r="H620" s="46"/>
      <c r="I620" s="47"/>
      <c r="J620" s="48"/>
      <c r="K620" s="46"/>
      <c r="L620" s="47"/>
      <c r="M620" s="48"/>
      <c r="N620" s="46"/>
      <c r="O620" s="47"/>
      <c r="P620" s="48"/>
      <c r="Q620" s="46"/>
      <c r="R620" s="47"/>
      <c r="S620" s="48"/>
      <c r="T620" s="46"/>
      <c r="U620" s="47"/>
      <c r="V620" s="48"/>
      <c r="W620" s="46" t="s">
        <v>1495</v>
      </c>
      <c r="X620" s="47" t="s">
        <v>2763</v>
      </c>
      <c r="Y620" s="48">
        <v>0.1</v>
      </c>
      <c r="Z620" s="49" t="s">
        <v>1624</v>
      </c>
      <c r="AA620" s="50" t="s">
        <v>1625</v>
      </c>
      <c r="AB620" s="51">
        <v>0.4</v>
      </c>
    </row>
    <row r="621" spans="1:28" ht="13.5" customHeight="1">
      <c r="A621" s="27"/>
      <c r="B621" s="44"/>
      <c r="C621" s="36"/>
      <c r="D621" s="6"/>
      <c r="E621" s="46"/>
      <c r="F621" s="47"/>
      <c r="G621" s="48"/>
      <c r="H621" s="46"/>
      <c r="I621" s="47"/>
      <c r="J621" s="48"/>
      <c r="K621" s="46"/>
      <c r="L621" s="47"/>
      <c r="M621" s="48"/>
      <c r="N621" s="46"/>
      <c r="O621" s="47"/>
      <c r="P621" s="48"/>
      <c r="Q621" s="46"/>
      <c r="R621" s="47"/>
      <c r="S621" s="48"/>
      <c r="T621" s="46"/>
      <c r="U621" s="47"/>
      <c r="V621" s="48"/>
      <c r="W621" s="46" t="s">
        <v>1500</v>
      </c>
      <c r="X621" s="47" t="s">
        <v>2764</v>
      </c>
      <c r="Y621" s="48">
        <v>0.1</v>
      </c>
      <c r="Z621" s="49" t="s">
        <v>1626</v>
      </c>
      <c r="AA621" s="50" t="s">
        <v>1627</v>
      </c>
      <c r="AB621" s="51">
        <v>0.2</v>
      </c>
    </row>
    <row r="622" spans="1:28" ht="13.5" customHeight="1">
      <c r="A622" s="27"/>
      <c r="B622" s="138"/>
      <c r="C622" s="82"/>
      <c r="D622" s="83"/>
      <c r="E622" s="46"/>
      <c r="F622" s="75"/>
      <c r="G622" s="48"/>
      <c r="H622" s="46"/>
      <c r="I622" s="75"/>
      <c r="J622" s="48"/>
      <c r="K622" s="46" t="s">
        <v>1629</v>
      </c>
      <c r="L622" s="75" t="s">
        <v>1628</v>
      </c>
      <c r="M622" s="48">
        <v>0.3</v>
      </c>
      <c r="N622" s="46" t="s">
        <v>1629</v>
      </c>
      <c r="O622" s="75" t="s">
        <v>1628</v>
      </c>
      <c r="P622" s="48">
        <v>0.5</v>
      </c>
      <c r="Q622" s="76" t="s">
        <v>1629</v>
      </c>
      <c r="R622" s="75" t="s">
        <v>1628</v>
      </c>
      <c r="S622" s="77">
        <v>0.5</v>
      </c>
      <c r="T622" s="76" t="s">
        <v>1629</v>
      </c>
      <c r="U622" s="75" t="s">
        <v>1628</v>
      </c>
      <c r="V622" s="77">
        <v>0.9</v>
      </c>
      <c r="W622" s="76" t="s">
        <v>1504</v>
      </c>
      <c r="X622" s="75" t="s">
        <v>2765</v>
      </c>
      <c r="Y622" s="77">
        <v>1</v>
      </c>
      <c r="Z622" s="78" t="s">
        <v>1630</v>
      </c>
      <c r="AA622" s="79" t="s">
        <v>1628</v>
      </c>
      <c r="AB622" s="80">
        <v>0.3</v>
      </c>
    </row>
    <row r="623" spans="1:28" ht="13.5" customHeight="1">
      <c r="A623" s="27"/>
      <c r="B623" s="44"/>
      <c r="C623" s="28" t="s">
        <v>1631</v>
      </c>
      <c r="D623" s="30" t="s">
        <v>1632</v>
      </c>
      <c r="E623" s="37" t="s">
        <v>1633</v>
      </c>
      <c r="F623" s="71"/>
      <c r="G623" s="39">
        <f>SUM(G624:G634)</f>
        <v>5.0999999999999996</v>
      </c>
      <c r="H623" s="37" t="s">
        <v>1633</v>
      </c>
      <c r="I623" s="71"/>
      <c r="J623" s="39">
        <f>SUM(J624:J634)</f>
        <v>5.9999999999999991</v>
      </c>
      <c r="K623" s="37" t="s">
        <v>1633</v>
      </c>
      <c r="L623" s="71"/>
      <c r="M623" s="39">
        <f>SUM(M624:M634)</f>
        <v>3.6</v>
      </c>
      <c r="N623" s="37" t="s">
        <v>1633</v>
      </c>
      <c r="O623" s="71"/>
      <c r="P623" s="39">
        <f>SUM(P624:P634)</f>
        <v>3.0000000000000004</v>
      </c>
      <c r="Q623" s="37" t="s">
        <v>1633</v>
      </c>
      <c r="R623" s="71"/>
      <c r="S623" s="39">
        <f>SUM(S624:S633)</f>
        <v>3.9000000000000004</v>
      </c>
      <c r="T623" s="37" t="s">
        <v>1633</v>
      </c>
      <c r="U623" s="71"/>
      <c r="V623" s="39">
        <f>SUM(V624:V634)</f>
        <v>4.8</v>
      </c>
      <c r="W623" s="72"/>
      <c r="X623" s="71"/>
      <c r="Y623" s="39">
        <f>SUM(Y624:Y633)</f>
        <v>5.3000000000000007</v>
      </c>
      <c r="Z623" s="42"/>
      <c r="AA623" s="43"/>
      <c r="AB623" s="39">
        <f>SUM(AB624:AB633)</f>
        <v>10.899999999999999</v>
      </c>
    </row>
    <row r="624" spans="1:28" ht="13.5" customHeight="1">
      <c r="A624" s="27"/>
      <c r="B624" s="44"/>
      <c r="C624" s="44"/>
      <c r="D624" s="45"/>
      <c r="E624" s="46" t="s">
        <v>1634</v>
      </c>
      <c r="F624" s="47" t="s">
        <v>3002</v>
      </c>
      <c r="G624" s="48">
        <v>3</v>
      </c>
      <c r="H624" s="46" t="s">
        <v>1634</v>
      </c>
      <c r="I624" s="47" t="s">
        <v>3002</v>
      </c>
      <c r="J624" s="48">
        <v>4.0999999999999996</v>
      </c>
      <c r="K624" s="46" t="s">
        <v>1634</v>
      </c>
      <c r="L624" s="47" t="s">
        <v>2766</v>
      </c>
      <c r="M624" s="48">
        <v>2.4</v>
      </c>
      <c r="N624" s="46" t="s">
        <v>1634</v>
      </c>
      <c r="O624" s="47" t="s">
        <v>2766</v>
      </c>
      <c r="P624" s="48">
        <v>2.1</v>
      </c>
      <c r="Q624" s="46" t="s">
        <v>1634</v>
      </c>
      <c r="R624" s="47" t="s">
        <v>1635</v>
      </c>
      <c r="S624" s="48">
        <v>1.3</v>
      </c>
      <c r="T624" s="46" t="s">
        <v>1634</v>
      </c>
      <c r="U624" s="47" t="s">
        <v>1635</v>
      </c>
      <c r="V624" s="48">
        <v>1.9</v>
      </c>
      <c r="W624" s="46" t="s">
        <v>1399</v>
      </c>
      <c r="X624" s="47" t="s">
        <v>2767</v>
      </c>
      <c r="Y624" s="48">
        <v>2.9</v>
      </c>
      <c r="Z624" s="49" t="s">
        <v>1636</v>
      </c>
      <c r="AA624" s="50" t="s">
        <v>1635</v>
      </c>
      <c r="AB624" s="51">
        <v>5.8</v>
      </c>
    </row>
    <row r="625" spans="1:28" ht="13.5" customHeight="1">
      <c r="A625" s="27"/>
      <c r="B625" s="44"/>
      <c r="C625" s="44"/>
      <c r="D625" s="6"/>
      <c r="E625" s="46"/>
      <c r="F625" s="47"/>
      <c r="G625" s="48"/>
      <c r="H625" s="46"/>
      <c r="I625" s="47"/>
      <c r="J625" s="48"/>
      <c r="K625" s="46"/>
      <c r="L625" s="47"/>
      <c r="M625" s="48"/>
      <c r="N625" s="46"/>
      <c r="O625" s="47"/>
      <c r="P625" s="48"/>
      <c r="Q625" s="46" t="s">
        <v>1637</v>
      </c>
      <c r="R625" s="47" t="s">
        <v>1638</v>
      </c>
      <c r="S625" s="48">
        <v>0.9</v>
      </c>
      <c r="T625" s="46" t="s">
        <v>1637</v>
      </c>
      <c r="U625" s="47" t="s">
        <v>1638</v>
      </c>
      <c r="V625" s="48">
        <v>0.8</v>
      </c>
      <c r="W625" s="46" t="s">
        <v>1378</v>
      </c>
      <c r="X625" s="47" t="s">
        <v>2768</v>
      </c>
      <c r="Y625" s="48">
        <v>0.8</v>
      </c>
      <c r="Z625" s="49" t="s">
        <v>1639</v>
      </c>
      <c r="AA625" s="50" t="s">
        <v>1638</v>
      </c>
      <c r="AB625" s="51">
        <v>2.2000000000000002</v>
      </c>
    </row>
    <row r="626" spans="1:28" ht="13.5" customHeight="1">
      <c r="A626" s="27"/>
      <c r="B626" s="44"/>
      <c r="C626" s="44"/>
      <c r="D626" s="6"/>
      <c r="E626" s="46"/>
      <c r="F626" s="47"/>
      <c r="G626" s="48"/>
      <c r="H626" s="46"/>
      <c r="I626" s="47"/>
      <c r="J626" s="48"/>
      <c r="K626" s="46"/>
      <c r="L626" s="47"/>
      <c r="M626" s="48"/>
      <c r="N626" s="46"/>
      <c r="O626" s="47"/>
      <c r="P626" s="48"/>
      <c r="Q626" s="46" t="s">
        <v>1640</v>
      </c>
      <c r="R626" s="47" t="s">
        <v>1641</v>
      </c>
      <c r="S626" s="48">
        <v>0.2</v>
      </c>
      <c r="T626" s="46" t="s">
        <v>1640</v>
      </c>
      <c r="U626" s="47" t="s">
        <v>1641</v>
      </c>
      <c r="V626" s="48">
        <v>0.3</v>
      </c>
      <c r="W626" s="46" t="s">
        <v>1382</v>
      </c>
      <c r="X626" s="47" t="s">
        <v>2769</v>
      </c>
      <c r="Y626" s="48">
        <v>0.7</v>
      </c>
      <c r="Z626" s="49" t="s">
        <v>1642</v>
      </c>
      <c r="AA626" s="50" t="s">
        <v>1641</v>
      </c>
      <c r="AB626" s="51">
        <v>0.9</v>
      </c>
    </row>
    <row r="627" spans="1:28" ht="13.5" customHeight="1">
      <c r="A627" s="27"/>
      <c r="B627" s="44"/>
      <c r="C627" s="44"/>
      <c r="D627" s="6"/>
      <c r="E627" s="46"/>
      <c r="F627" s="47"/>
      <c r="G627" s="48"/>
      <c r="H627" s="46"/>
      <c r="I627" s="47"/>
      <c r="J627" s="48"/>
      <c r="K627" s="46" t="s">
        <v>1658</v>
      </c>
      <c r="L627" s="47" t="s">
        <v>1643</v>
      </c>
      <c r="M627" s="48">
        <v>0.1</v>
      </c>
      <c r="N627" s="46" t="s">
        <v>1658</v>
      </c>
      <c r="O627" s="47" t="s">
        <v>1643</v>
      </c>
      <c r="P627" s="48">
        <v>0.1</v>
      </c>
      <c r="Q627" s="46" t="s">
        <v>1644</v>
      </c>
      <c r="R627" s="47" t="s">
        <v>1643</v>
      </c>
      <c r="S627" s="48">
        <v>0.2</v>
      </c>
      <c r="T627" s="46" t="s">
        <v>1644</v>
      </c>
      <c r="U627" s="47" t="s">
        <v>1643</v>
      </c>
      <c r="V627" s="48">
        <v>0.3</v>
      </c>
      <c r="W627" s="46" t="s">
        <v>1386</v>
      </c>
      <c r="X627" s="47" t="s">
        <v>2770</v>
      </c>
      <c r="Y627" s="48">
        <v>0.2</v>
      </c>
      <c r="Z627" s="49" t="s">
        <v>1645</v>
      </c>
      <c r="AA627" s="50" t="s">
        <v>1643</v>
      </c>
      <c r="AB627" s="51">
        <v>1.1000000000000001</v>
      </c>
    </row>
    <row r="628" spans="1:28" ht="13.5" customHeight="1">
      <c r="A628" s="27"/>
      <c r="B628" s="44"/>
      <c r="C628" s="44"/>
      <c r="D628" s="6"/>
      <c r="E628" s="46"/>
      <c r="F628" s="47"/>
      <c r="G628" s="48"/>
      <c r="H628" s="46"/>
      <c r="I628" s="47"/>
      <c r="J628" s="48"/>
      <c r="K628" s="46"/>
      <c r="L628" s="47"/>
      <c r="M628" s="48"/>
      <c r="N628" s="46"/>
      <c r="O628" s="47"/>
      <c r="P628" s="48"/>
      <c r="Q628" s="46"/>
      <c r="R628" s="47"/>
      <c r="S628" s="48"/>
      <c r="T628" s="46"/>
      <c r="U628" s="47"/>
      <c r="V628" s="48"/>
      <c r="W628" s="46" t="s">
        <v>1390</v>
      </c>
      <c r="X628" s="47" t="s">
        <v>2771</v>
      </c>
      <c r="Y628" s="48">
        <v>0.2</v>
      </c>
      <c r="Z628" s="49"/>
      <c r="AA628" s="50"/>
      <c r="AB628" s="51"/>
    </row>
    <row r="629" spans="1:28" ht="13.5" customHeight="1">
      <c r="A629" s="27"/>
      <c r="B629" s="44"/>
      <c r="C629" s="44"/>
      <c r="D629" s="6"/>
      <c r="E629" s="46"/>
      <c r="F629" s="47"/>
      <c r="G629" s="48"/>
      <c r="H629" s="46"/>
      <c r="I629" s="47"/>
      <c r="J629" s="48"/>
      <c r="K629" s="46"/>
      <c r="L629" s="47"/>
      <c r="M629" s="48"/>
      <c r="N629" s="46"/>
      <c r="O629" s="47"/>
      <c r="P629" s="48"/>
      <c r="Q629" s="46"/>
      <c r="R629" s="47"/>
      <c r="S629" s="48"/>
      <c r="T629" s="46"/>
      <c r="U629" s="47"/>
      <c r="V629" s="48"/>
      <c r="W629" s="46"/>
      <c r="X629" s="47"/>
      <c r="Y629" s="48"/>
      <c r="Z629" s="49" t="s">
        <v>1646</v>
      </c>
      <c r="AA629" s="50" t="s">
        <v>1647</v>
      </c>
      <c r="AB629" s="51">
        <v>0.1</v>
      </c>
    </row>
    <row r="630" spans="1:28" ht="13.5" customHeight="1">
      <c r="A630" s="27"/>
      <c r="B630" s="44"/>
      <c r="C630" s="36"/>
      <c r="D630" s="6"/>
      <c r="E630" s="46" t="s">
        <v>1658</v>
      </c>
      <c r="F630" s="47" t="s">
        <v>1648</v>
      </c>
      <c r="G630" s="48">
        <v>0.7</v>
      </c>
      <c r="H630" s="46" t="s">
        <v>1658</v>
      </c>
      <c r="I630" s="47" t="s">
        <v>1648</v>
      </c>
      <c r="J630" s="48">
        <v>0.6</v>
      </c>
      <c r="K630" s="46" t="s">
        <v>1644</v>
      </c>
      <c r="L630" s="47" t="s">
        <v>1648</v>
      </c>
      <c r="M630" s="48">
        <v>0.4</v>
      </c>
      <c r="N630" s="46" t="s">
        <v>1644</v>
      </c>
      <c r="O630" s="47" t="s">
        <v>1648</v>
      </c>
      <c r="P630" s="48">
        <v>0.3</v>
      </c>
      <c r="Q630" s="46" t="s">
        <v>1649</v>
      </c>
      <c r="R630" s="47" t="s">
        <v>1648</v>
      </c>
      <c r="S630" s="48">
        <v>0.8</v>
      </c>
      <c r="T630" s="46" t="s">
        <v>1649</v>
      </c>
      <c r="U630" s="47" t="s">
        <v>1648</v>
      </c>
      <c r="V630" s="48">
        <v>0.8</v>
      </c>
      <c r="W630" s="46" t="s">
        <v>1394</v>
      </c>
      <c r="X630" s="47" t="s">
        <v>2772</v>
      </c>
      <c r="Y630" s="48">
        <v>0.1</v>
      </c>
      <c r="Z630" s="49" t="s">
        <v>1650</v>
      </c>
      <c r="AA630" s="50" t="s">
        <v>1648</v>
      </c>
      <c r="AB630" s="51">
        <v>0.5</v>
      </c>
    </row>
    <row r="631" spans="1:28" ht="13.5" customHeight="1">
      <c r="A631" s="27"/>
      <c r="B631" s="44"/>
      <c r="C631" s="36"/>
      <c r="D631" s="6"/>
      <c r="E631" s="46" t="s">
        <v>1644</v>
      </c>
      <c r="F631" s="47" t="s">
        <v>3003</v>
      </c>
      <c r="G631" s="48">
        <v>0.1</v>
      </c>
      <c r="H631" s="46" t="s">
        <v>1644</v>
      </c>
      <c r="I631" s="47" t="s">
        <v>3003</v>
      </c>
      <c r="J631" s="48">
        <v>0.2</v>
      </c>
      <c r="K631" s="46" t="s">
        <v>1649</v>
      </c>
      <c r="L631" s="47" t="s">
        <v>2773</v>
      </c>
      <c r="M631" s="48">
        <v>0.2</v>
      </c>
      <c r="N631" s="46" t="s">
        <v>1649</v>
      </c>
      <c r="O631" s="47" t="s">
        <v>2773</v>
      </c>
      <c r="P631" s="48">
        <v>0.1</v>
      </c>
      <c r="Q631" s="46" t="s">
        <v>1651</v>
      </c>
      <c r="R631" s="47" t="s">
        <v>1652</v>
      </c>
      <c r="S631" s="48">
        <v>0.1</v>
      </c>
      <c r="T631" s="46" t="s">
        <v>1651</v>
      </c>
      <c r="U631" s="47" t="s">
        <v>1652</v>
      </c>
      <c r="V631" s="48">
        <v>0.2</v>
      </c>
      <c r="W631" s="46" t="s">
        <v>1429</v>
      </c>
      <c r="X631" s="47" t="s">
        <v>2774</v>
      </c>
      <c r="Y631" s="48">
        <v>0.4</v>
      </c>
      <c r="Z631" s="49" t="s">
        <v>1653</v>
      </c>
      <c r="AA631" s="50" t="s">
        <v>1654</v>
      </c>
      <c r="AB631" s="51">
        <v>0.1</v>
      </c>
    </row>
    <row r="632" spans="1:28" ht="13.5" customHeight="1">
      <c r="A632" s="27"/>
      <c r="B632" s="44"/>
      <c r="C632" s="36"/>
      <c r="D632" s="6"/>
      <c r="E632" s="46"/>
      <c r="F632" s="47"/>
      <c r="G632" s="48"/>
      <c r="H632" s="46"/>
      <c r="I632" s="47"/>
      <c r="J632" s="48"/>
      <c r="K632" s="46"/>
      <c r="L632" s="47"/>
      <c r="M632" s="48"/>
      <c r="N632" s="46"/>
      <c r="O632" s="47"/>
      <c r="P632" s="48"/>
      <c r="Q632" s="46"/>
      <c r="R632" s="47"/>
      <c r="S632" s="48"/>
      <c r="T632" s="46"/>
      <c r="U632" s="47"/>
      <c r="V632" s="48"/>
      <c r="W632" s="46"/>
      <c r="X632" s="47"/>
      <c r="Y632" s="48"/>
      <c r="Z632" s="49" t="s">
        <v>1655</v>
      </c>
      <c r="AA632" s="50" t="s">
        <v>1656</v>
      </c>
      <c r="AB632" s="51">
        <v>0.2</v>
      </c>
    </row>
    <row r="633" spans="1:28" ht="13.5" customHeight="1">
      <c r="A633" s="27"/>
      <c r="B633" s="44"/>
      <c r="C633" s="36"/>
      <c r="D633" s="6"/>
      <c r="E633" s="46" t="s">
        <v>1640</v>
      </c>
      <c r="F633" s="47" t="s">
        <v>1657</v>
      </c>
      <c r="G633" s="48">
        <v>1.2</v>
      </c>
      <c r="H633" s="46" t="s">
        <v>1640</v>
      </c>
      <c r="I633" s="47" t="s">
        <v>1657</v>
      </c>
      <c r="J633" s="48">
        <v>1</v>
      </c>
      <c r="K633" s="46" t="s">
        <v>1640</v>
      </c>
      <c r="L633" s="47" t="s">
        <v>1657</v>
      </c>
      <c r="M633" s="48">
        <v>0.3</v>
      </c>
      <c r="N633" s="46" t="s">
        <v>1640</v>
      </c>
      <c r="O633" s="47" t="s">
        <v>1657</v>
      </c>
      <c r="P633" s="48">
        <v>0.2</v>
      </c>
      <c r="Q633" s="46" t="s">
        <v>1658</v>
      </c>
      <c r="R633" s="47" t="s">
        <v>1657</v>
      </c>
      <c r="S633" s="48">
        <v>0.4</v>
      </c>
      <c r="T633" s="46" t="s">
        <v>1658</v>
      </c>
      <c r="U633" s="47" t="s">
        <v>1657</v>
      </c>
      <c r="V633" s="48">
        <v>0.5</v>
      </c>
      <c r="W633" s="46"/>
      <c r="X633" s="47"/>
      <c r="Y633" s="48"/>
      <c r="Z633" s="49"/>
      <c r="AA633" s="50"/>
      <c r="AB633" s="51"/>
    </row>
    <row r="634" spans="1:28" ht="13.5" customHeight="1">
      <c r="A634" s="27"/>
      <c r="B634" s="161"/>
      <c r="C634" s="82"/>
      <c r="D634" s="83"/>
      <c r="E634" s="46" t="s">
        <v>1637</v>
      </c>
      <c r="F634" s="75" t="s">
        <v>1659</v>
      </c>
      <c r="G634" s="48">
        <v>0.1</v>
      </c>
      <c r="H634" s="46" t="s">
        <v>1637</v>
      </c>
      <c r="I634" s="75" t="s">
        <v>1659</v>
      </c>
      <c r="J634" s="48">
        <v>0.1</v>
      </c>
      <c r="K634" s="46" t="s">
        <v>1637</v>
      </c>
      <c r="L634" s="75" t="s">
        <v>1659</v>
      </c>
      <c r="M634" s="48">
        <v>0.2</v>
      </c>
      <c r="N634" s="46" t="s">
        <v>1637</v>
      </c>
      <c r="O634" s="75" t="s">
        <v>1659</v>
      </c>
      <c r="P634" s="48">
        <v>0.2</v>
      </c>
      <c r="Q634" s="76"/>
      <c r="R634" s="75"/>
      <c r="S634" s="77"/>
      <c r="T634" s="76"/>
      <c r="U634" s="75"/>
      <c r="V634" s="77"/>
      <c r="W634" s="76"/>
      <c r="X634" s="75"/>
      <c r="Y634" s="77"/>
      <c r="Z634" s="78"/>
      <c r="AA634" s="79"/>
      <c r="AB634" s="80"/>
    </row>
    <row r="635" spans="1:28" ht="13.5" customHeight="1">
      <c r="A635" s="27"/>
      <c r="B635" s="36" t="s">
        <v>1660</v>
      </c>
      <c r="C635" s="21"/>
      <c r="D635" s="6" t="s">
        <v>1661</v>
      </c>
      <c r="E635" s="31" t="s">
        <v>1662</v>
      </c>
      <c r="F635" s="63"/>
      <c r="G635" s="33">
        <f>G636</f>
        <v>1.4000000000000001</v>
      </c>
      <c r="H635" s="31" t="s">
        <v>1662</v>
      </c>
      <c r="I635" s="63"/>
      <c r="J635" s="33">
        <f>J636</f>
        <v>0.7</v>
      </c>
      <c r="K635" s="31" t="s">
        <v>1662</v>
      </c>
      <c r="L635" s="63"/>
      <c r="M635" s="33">
        <f>M636</f>
        <v>0.7</v>
      </c>
      <c r="N635" s="31" t="s">
        <v>1662</v>
      </c>
      <c r="O635" s="63"/>
      <c r="P635" s="33">
        <f>P636</f>
        <v>0.5</v>
      </c>
      <c r="Q635" s="31" t="s">
        <v>1662</v>
      </c>
      <c r="R635" s="63"/>
      <c r="S635" s="33">
        <f>S636</f>
        <v>0.8</v>
      </c>
      <c r="T635" s="31" t="s">
        <v>1662</v>
      </c>
      <c r="U635" s="63"/>
      <c r="V635" s="33">
        <f>V636</f>
        <v>0.60000000000000009</v>
      </c>
      <c r="W635" s="62"/>
      <c r="X635" s="63"/>
      <c r="Y635" s="33">
        <f>Y636</f>
        <v>0.60000000000000009</v>
      </c>
      <c r="Z635" s="90"/>
      <c r="AA635" s="91"/>
      <c r="AB635" s="33">
        <f>AB636</f>
        <v>1.9</v>
      </c>
    </row>
    <row r="636" spans="1:28" ht="13.5" customHeight="1">
      <c r="A636" s="27"/>
      <c r="B636" s="44"/>
      <c r="C636" s="28" t="s">
        <v>1663</v>
      </c>
      <c r="D636" s="30" t="s">
        <v>1661</v>
      </c>
      <c r="E636" s="37" t="s">
        <v>1664</v>
      </c>
      <c r="F636" s="41"/>
      <c r="G636" s="39">
        <f>SUM(G637:G642)</f>
        <v>1.4000000000000001</v>
      </c>
      <c r="H636" s="37" t="s">
        <v>1664</v>
      </c>
      <c r="I636" s="41"/>
      <c r="J636" s="39">
        <f>SUM(J637:J642)</f>
        <v>0.7</v>
      </c>
      <c r="K636" s="37" t="s">
        <v>1664</v>
      </c>
      <c r="L636" s="41"/>
      <c r="M636" s="39">
        <f>SUM(M637:M642)</f>
        <v>0.7</v>
      </c>
      <c r="N636" s="37" t="s">
        <v>1664</v>
      </c>
      <c r="O636" s="41"/>
      <c r="P636" s="39">
        <f>SUM(P637:P642)</f>
        <v>0.5</v>
      </c>
      <c r="Q636" s="37" t="s">
        <v>1664</v>
      </c>
      <c r="R636" s="41"/>
      <c r="S636" s="39">
        <f>SUM(S637:S640)</f>
        <v>0.8</v>
      </c>
      <c r="T636" s="37" t="s">
        <v>1664</v>
      </c>
      <c r="U636" s="41"/>
      <c r="V636" s="39">
        <f>SUM(V637:V642)</f>
        <v>0.60000000000000009</v>
      </c>
      <c r="W636" s="97"/>
      <c r="X636" s="41"/>
      <c r="Y636" s="39">
        <f>SUM(Y637:Y640)</f>
        <v>0.60000000000000009</v>
      </c>
      <c r="Z636" s="42"/>
      <c r="AA636" s="43"/>
      <c r="AB636" s="39">
        <f>SUM(AB637:AB640)</f>
        <v>1.9</v>
      </c>
    </row>
    <row r="637" spans="1:28" ht="13.5" customHeight="1">
      <c r="A637" s="27"/>
      <c r="B637" s="105"/>
      <c r="C637" s="44"/>
      <c r="D637" s="45"/>
      <c r="E637" s="46"/>
      <c r="F637" s="47"/>
      <c r="G637" s="48"/>
      <c r="H637" s="46"/>
      <c r="I637" s="47"/>
      <c r="J637" s="48"/>
      <c r="K637" s="46" t="s">
        <v>1666</v>
      </c>
      <c r="L637" s="47" t="s">
        <v>1665</v>
      </c>
      <c r="M637" s="48">
        <v>0.2</v>
      </c>
      <c r="N637" s="46" t="s">
        <v>1666</v>
      </c>
      <c r="O637" s="47" t="s">
        <v>1665</v>
      </c>
      <c r="P637" s="48">
        <v>0.2</v>
      </c>
      <c r="Q637" s="46" t="s">
        <v>1666</v>
      </c>
      <c r="R637" s="47" t="s">
        <v>1665</v>
      </c>
      <c r="S637" s="48">
        <v>0.4</v>
      </c>
      <c r="T637" s="46" t="s">
        <v>1666</v>
      </c>
      <c r="U637" s="47" t="s">
        <v>1665</v>
      </c>
      <c r="V637" s="48">
        <v>0.4</v>
      </c>
      <c r="W637" s="46" t="s">
        <v>1575</v>
      </c>
      <c r="X637" s="47" t="s">
        <v>2775</v>
      </c>
      <c r="Y637" s="48">
        <v>0.4</v>
      </c>
      <c r="Z637" s="49" t="s">
        <v>1667</v>
      </c>
      <c r="AA637" s="50" t="s">
        <v>1665</v>
      </c>
      <c r="AB637" s="51">
        <v>0.9</v>
      </c>
    </row>
    <row r="638" spans="1:28" ht="13.5" customHeight="1">
      <c r="A638" s="27"/>
      <c r="B638" s="44"/>
      <c r="C638" s="36"/>
      <c r="D638" s="6"/>
      <c r="E638" s="46"/>
      <c r="F638" s="47"/>
      <c r="G638" s="48"/>
      <c r="H638" s="46"/>
      <c r="I638" s="47"/>
      <c r="J638" s="48"/>
      <c r="K638" s="46" t="s">
        <v>1669</v>
      </c>
      <c r="L638" s="47" t="s">
        <v>1668</v>
      </c>
      <c r="M638" s="48">
        <v>0.2</v>
      </c>
      <c r="N638" s="46" t="s">
        <v>1669</v>
      </c>
      <c r="O638" s="47" t="s">
        <v>1668</v>
      </c>
      <c r="P638" s="48">
        <v>0.2</v>
      </c>
      <c r="Q638" s="46" t="s">
        <v>1669</v>
      </c>
      <c r="R638" s="47" t="s">
        <v>1668</v>
      </c>
      <c r="S638" s="48">
        <v>0.4</v>
      </c>
      <c r="T638" s="46" t="s">
        <v>1669</v>
      </c>
      <c r="U638" s="47" t="s">
        <v>1668</v>
      </c>
      <c r="V638" s="48">
        <v>0.2</v>
      </c>
      <c r="W638" s="46" t="s">
        <v>1577</v>
      </c>
      <c r="X638" s="47" t="s">
        <v>2776</v>
      </c>
      <c r="Y638" s="48">
        <v>0.2</v>
      </c>
      <c r="Z638" s="49" t="s">
        <v>1670</v>
      </c>
      <c r="AA638" s="50" t="s">
        <v>1668</v>
      </c>
      <c r="AB638" s="51">
        <v>0.4</v>
      </c>
    </row>
    <row r="639" spans="1:28" ht="13.5" customHeight="1">
      <c r="A639" s="27"/>
      <c r="B639" s="44"/>
      <c r="C639" s="36"/>
      <c r="D639" s="6"/>
      <c r="E639" s="46"/>
      <c r="F639" s="47"/>
      <c r="G639" s="48"/>
      <c r="H639" s="46"/>
      <c r="I639" s="47"/>
      <c r="J639" s="48"/>
      <c r="K639" s="46"/>
      <c r="L639" s="47"/>
      <c r="M639" s="48"/>
      <c r="N639" s="46"/>
      <c r="O639" s="47"/>
      <c r="P639" s="48"/>
      <c r="Q639" s="46"/>
      <c r="R639" s="47"/>
      <c r="S639" s="48"/>
      <c r="T639" s="46"/>
      <c r="U639" s="47"/>
      <c r="V639" s="48"/>
      <c r="W639" s="46" t="s">
        <v>2777</v>
      </c>
      <c r="X639" s="47" t="s">
        <v>2778</v>
      </c>
      <c r="Y639" s="48" t="s">
        <v>2778</v>
      </c>
      <c r="Z639" s="49" t="s">
        <v>1671</v>
      </c>
      <c r="AA639" s="50" t="s">
        <v>1672</v>
      </c>
      <c r="AB639" s="51">
        <v>0.2</v>
      </c>
    </row>
    <row r="640" spans="1:28" ht="13.5" customHeight="1">
      <c r="A640" s="27"/>
      <c r="B640" s="44"/>
      <c r="C640" s="36"/>
      <c r="D640" s="6"/>
      <c r="E640" s="46"/>
      <c r="F640" s="47"/>
      <c r="G640" s="48"/>
      <c r="H640" s="46"/>
      <c r="I640" s="47"/>
      <c r="J640" s="48"/>
      <c r="K640" s="46"/>
      <c r="L640" s="47"/>
      <c r="M640" s="48"/>
      <c r="N640" s="46"/>
      <c r="O640" s="47"/>
      <c r="P640" s="48"/>
      <c r="Q640" s="46"/>
      <c r="R640" s="47"/>
      <c r="S640" s="48"/>
      <c r="T640" s="46"/>
      <c r="U640" s="47"/>
      <c r="V640" s="48"/>
      <c r="W640" s="46"/>
      <c r="X640" s="47"/>
      <c r="Y640" s="48"/>
      <c r="Z640" s="49" t="s">
        <v>1673</v>
      </c>
      <c r="AA640" s="50" t="s">
        <v>1674</v>
      </c>
      <c r="AB640" s="51">
        <v>0.4</v>
      </c>
    </row>
    <row r="641" spans="1:28" ht="13.5" customHeight="1">
      <c r="A641" s="27"/>
      <c r="B641" s="44"/>
      <c r="C641" s="36"/>
      <c r="D641" s="6"/>
      <c r="E641" s="46" t="s">
        <v>1669</v>
      </c>
      <c r="F641" s="56" t="s">
        <v>3000</v>
      </c>
      <c r="G641" s="48">
        <v>1.1000000000000001</v>
      </c>
      <c r="H641" s="46" t="s">
        <v>1669</v>
      </c>
      <c r="I641" s="56" t="s">
        <v>3000</v>
      </c>
      <c r="J641" s="48">
        <v>0.4</v>
      </c>
      <c r="K641" s="46" t="s">
        <v>2972</v>
      </c>
      <c r="L641" s="56" t="s">
        <v>3000</v>
      </c>
      <c r="M641" s="48">
        <v>0.3</v>
      </c>
      <c r="N641" s="46" t="s">
        <v>2972</v>
      </c>
      <c r="O641" s="56" t="s">
        <v>3000</v>
      </c>
      <c r="P641" s="48">
        <v>0.1</v>
      </c>
      <c r="Q641" s="57"/>
      <c r="R641" s="56"/>
      <c r="S641" s="58"/>
      <c r="T641" s="57"/>
      <c r="U641" s="56"/>
      <c r="V641" s="58"/>
      <c r="W641" s="57"/>
      <c r="X641" s="56"/>
      <c r="Y641" s="58"/>
      <c r="Z641" s="59"/>
      <c r="AA641" s="60"/>
      <c r="AB641" s="61"/>
    </row>
    <row r="642" spans="1:28" ht="13.5" customHeight="1">
      <c r="A642" s="27"/>
      <c r="B642" s="161"/>
      <c r="C642" s="82"/>
      <c r="D642" s="83"/>
      <c r="E642" s="46" t="s">
        <v>1666</v>
      </c>
      <c r="F642" s="198" t="s">
        <v>3001</v>
      </c>
      <c r="G642" s="48">
        <v>0.3</v>
      </c>
      <c r="H642" s="46" t="s">
        <v>1666</v>
      </c>
      <c r="I642" s="198" t="s">
        <v>3001</v>
      </c>
      <c r="J642" s="48">
        <v>0.3</v>
      </c>
      <c r="K642" s="46"/>
      <c r="L642" s="198"/>
      <c r="M642" s="48"/>
      <c r="N642" s="46"/>
      <c r="O642" s="198"/>
      <c r="P642" s="48"/>
      <c r="Q642" s="199"/>
      <c r="R642" s="200"/>
      <c r="S642" s="201"/>
      <c r="T642" s="199"/>
      <c r="U642" s="200"/>
      <c r="V642" s="201"/>
      <c r="W642" s="199"/>
      <c r="X642" s="200"/>
      <c r="Y642" s="201"/>
      <c r="Z642" s="78"/>
      <c r="AA642" s="79"/>
      <c r="AB642" s="80"/>
    </row>
    <row r="643" spans="1:28" ht="13.5" customHeight="1">
      <c r="A643" s="27"/>
      <c r="B643" s="36" t="s">
        <v>1675</v>
      </c>
      <c r="C643" s="21"/>
      <c r="D643" s="6" t="s">
        <v>1676</v>
      </c>
      <c r="E643" s="31" t="s">
        <v>1677</v>
      </c>
      <c r="F643" s="202"/>
      <c r="G643" s="33">
        <f>G644</f>
        <v>13.599999999999998</v>
      </c>
      <c r="H643" s="31" t="s">
        <v>1677</v>
      </c>
      <c r="I643" s="202"/>
      <c r="J643" s="33">
        <f>J644</f>
        <v>12.1</v>
      </c>
      <c r="K643" s="31" t="s">
        <v>1677</v>
      </c>
      <c r="L643" s="202"/>
      <c r="M643" s="33">
        <f>M644</f>
        <v>8.6999999999999993</v>
      </c>
      <c r="N643" s="31" t="s">
        <v>1677</v>
      </c>
      <c r="O643" s="202"/>
      <c r="P643" s="33">
        <f>P644</f>
        <v>8.6</v>
      </c>
      <c r="Q643" s="31" t="s">
        <v>1677</v>
      </c>
      <c r="R643" s="202"/>
      <c r="S643" s="33">
        <f>S644</f>
        <v>7.3999999999999995</v>
      </c>
      <c r="T643" s="31" t="s">
        <v>1677</v>
      </c>
      <c r="U643" s="202"/>
      <c r="V643" s="33">
        <f>V644</f>
        <v>6.6</v>
      </c>
      <c r="W643" s="65"/>
      <c r="X643" s="202"/>
      <c r="Y643" s="33">
        <f>Y644</f>
        <v>5.6</v>
      </c>
      <c r="Z643" s="65"/>
      <c r="AA643" s="66"/>
      <c r="AB643" s="33">
        <f>AB644</f>
        <v>3.9</v>
      </c>
    </row>
    <row r="644" spans="1:28" ht="13.5" customHeight="1">
      <c r="A644" s="27"/>
      <c r="B644" s="44"/>
      <c r="C644" s="28" t="s">
        <v>1678</v>
      </c>
      <c r="D644" s="30" t="s">
        <v>1676</v>
      </c>
      <c r="E644" s="37" t="s">
        <v>1679</v>
      </c>
      <c r="F644" s="203"/>
      <c r="G644" s="184">
        <f>SUM(G645:G658)</f>
        <v>13.599999999999998</v>
      </c>
      <c r="H644" s="37" t="s">
        <v>1679</v>
      </c>
      <c r="I644" s="203"/>
      <c r="J644" s="184">
        <f>SUM(J645:J658)</f>
        <v>12.1</v>
      </c>
      <c r="K644" s="37" t="s">
        <v>1679</v>
      </c>
      <c r="L644" s="203"/>
      <c r="M644" s="184">
        <f>SUM(M645:M658)</f>
        <v>8.6999999999999993</v>
      </c>
      <c r="N644" s="37" t="s">
        <v>1679</v>
      </c>
      <c r="O644" s="203"/>
      <c r="P644" s="184">
        <f>SUM(P645:P658)</f>
        <v>8.6</v>
      </c>
      <c r="Q644" s="37" t="s">
        <v>1679</v>
      </c>
      <c r="R644" s="203"/>
      <c r="S644" s="184">
        <f>SUM(S645:S658)</f>
        <v>7.3999999999999995</v>
      </c>
      <c r="T644" s="37" t="s">
        <v>1679</v>
      </c>
      <c r="U644" s="203"/>
      <c r="V644" s="184">
        <f>SUM(V645:V658)</f>
        <v>6.6</v>
      </c>
      <c r="W644" s="42"/>
      <c r="X644" s="203"/>
      <c r="Y644" s="184">
        <f>SUM(Y645:Y658)</f>
        <v>5.6</v>
      </c>
      <c r="Z644" s="42"/>
      <c r="AA644" s="43"/>
      <c r="AB644" s="184">
        <f>SUM(AB645:AB658)</f>
        <v>3.9</v>
      </c>
    </row>
    <row r="645" spans="1:28" ht="13.5" customHeight="1">
      <c r="A645" s="27"/>
      <c r="B645" s="144"/>
      <c r="C645" s="44"/>
      <c r="D645" s="45"/>
      <c r="E645" s="46" t="s">
        <v>1681</v>
      </c>
      <c r="F645" s="47" t="s">
        <v>1680</v>
      </c>
      <c r="G645" s="48">
        <v>2.9</v>
      </c>
      <c r="H645" s="46" t="s">
        <v>1681</v>
      </c>
      <c r="I645" s="47" t="s">
        <v>1680</v>
      </c>
      <c r="J645" s="48">
        <v>3.1</v>
      </c>
      <c r="K645" s="46" t="s">
        <v>1681</v>
      </c>
      <c r="L645" s="47" t="s">
        <v>1680</v>
      </c>
      <c r="M645" s="48">
        <v>2.9</v>
      </c>
      <c r="N645" s="46" t="s">
        <v>1681</v>
      </c>
      <c r="O645" s="47" t="s">
        <v>1680</v>
      </c>
      <c r="P645" s="48">
        <v>3.2</v>
      </c>
      <c r="Q645" s="46" t="s">
        <v>1681</v>
      </c>
      <c r="R645" s="47" t="s">
        <v>1680</v>
      </c>
      <c r="S645" s="48">
        <v>2</v>
      </c>
      <c r="T645" s="46" t="s">
        <v>1681</v>
      </c>
      <c r="U645" s="47" t="s">
        <v>1680</v>
      </c>
      <c r="V645" s="48">
        <v>1.5</v>
      </c>
      <c r="W645" s="46" t="s">
        <v>1580</v>
      </c>
      <c r="X645" s="47" t="s">
        <v>2779</v>
      </c>
      <c r="Y645" s="48">
        <v>1.5</v>
      </c>
      <c r="Z645" s="49" t="s">
        <v>1682</v>
      </c>
      <c r="AA645" s="50" t="s">
        <v>1680</v>
      </c>
      <c r="AB645" s="51">
        <v>1.3</v>
      </c>
    </row>
    <row r="646" spans="1:28" ht="13.5" customHeight="1">
      <c r="A646" s="27"/>
      <c r="B646" s="44"/>
      <c r="C646" s="44"/>
      <c r="D646" s="6"/>
      <c r="E646" s="46"/>
      <c r="F646" s="47"/>
      <c r="G646" s="48"/>
      <c r="H646" s="46"/>
      <c r="I646" s="47"/>
      <c r="J646" s="48"/>
      <c r="K646" s="46"/>
      <c r="L646" s="47"/>
      <c r="M646" s="48"/>
      <c r="N646" s="46"/>
      <c r="O646" s="47"/>
      <c r="P646" s="48"/>
      <c r="Q646" s="46" t="s">
        <v>1683</v>
      </c>
      <c r="R646" s="47" t="s">
        <v>1684</v>
      </c>
      <c r="S646" s="48">
        <v>0.1</v>
      </c>
      <c r="T646" s="46" t="s">
        <v>1683</v>
      </c>
      <c r="U646" s="47" t="s">
        <v>1684</v>
      </c>
      <c r="V646" s="48">
        <v>0.1</v>
      </c>
      <c r="W646" s="46" t="s">
        <v>1592</v>
      </c>
      <c r="X646" s="47" t="s">
        <v>2780</v>
      </c>
      <c r="Y646" s="48">
        <v>0.3</v>
      </c>
      <c r="Z646" s="49" t="s">
        <v>1685</v>
      </c>
      <c r="AA646" s="50" t="s">
        <v>1684</v>
      </c>
      <c r="AB646" s="51">
        <v>0.2</v>
      </c>
    </row>
    <row r="647" spans="1:28" ht="13.5" customHeight="1">
      <c r="A647" s="27"/>
      <c r="B647" s="44"/>
      <c r="C647" s="36"/>
      <c r="D647" s="6"/>
      <c r="E647" s="46"/>
      <c r="F647" s="47"/>
      <c r="G647" s="48"/>
      <c r="H647" s="46"/>
      <c r="I647" s="47"/>
      <c r="J647" s="48"/>
      <c r="K647" s="46"/>
      <c r="L647" s="47"/>
      <c r="M647" s="48"/>
      <c r="N647" s="46"/>
      <c r="O647" s="47"/>
      <c r="P647" s="48"/>
      <c r="Q647" s="46" t="s">
        <v>1686</v>
      </c>
      <c r="R647" s="47" t="s">
        <v>1687</v>
      </c>
      <c r="S647" s="48">
        <v>0.3</v>
      </c>
      <c r="T647" s="46" t="s">
        <v>1686</v>
      </c>
      <c r="U647" s="47" t="s">
        <v>1687</v>
      </c>
      <c r="V647" s="48">
        <v>0.4</v>
      </c>
      <c r="W647" s="46"/>
      <c r="X647" s="47"/>
      <c r="Y647" s="48"/>
      <c r="Z647" s="49"/>
      <c r="AA647" s="50"/>
      <c r="AB647" s="51"/>
    </row>
    <row r="648" spans="1:28" ht="13.5" customHeight="1">
      <c r="A648" s="27"/>
      <c r="B648" s="44"/>
      <c r="C648" s="36"/>
      <c r="D648" s="6"/>
      <c r="E648" s="46" t="s">
        <v>1683</v>
      </c>
      <c r="F648" s="47" t="s">
        <v>2996</v>
      </c>
      <c r="G648" s="48">
        <v>1.6</v>
      </c>
      <c r="H648" s="46" t="s">
        <v>1683</v>
      </c>
      <c r="I648" s="47" t="s">
        <v>2996</v>
      </c>
      <c r="J648" s="48">
        <v>1.3</v>
      </c>
      <c r="K648" s="46" t="s">
        <v>1683</v>
      </c>
      <c r="L648" s="47" t="s">
        <v>2781</v>
      </c>
      <c r="M648" s="48">
        <v>1</v>
      </c>
      <c r="N648" s="46" t="s">
        <v>1683</v>
      </c>
      <c r="O648" s="47" t="s">
        <v>2781</v>
      </c>
      <c r="P648" s="48">
        <v>1.2</v>
      </c>
      <c r="Q648" s="46" t="s">
        <v>1688</v>
      </c>
      <c r="R648" s="47" t="s">
        <v>1689</v>
      </c>
      <c r="S648" s="48">
        <v>0.5</v>
      </c>
      <c r="T648" s="46" t="s">
        <v>1688</v>
      </c>
      <c r="U648" s="47" t="s">
        <v>1689</v>
      </c>
      <c r="V648" s="48">
        <v>0.3</v>
      </c>
      <c r="W648" s="46" t="s">
        <v>1583</v>
      </c>
      <c r="X648" s="47" t="s">
        <v>2782</v>
      </c>
      <c r="Y648" s="48">
        <v>0.4</v>
      </c>
      <c r="Z648" s="49" t="s">
        <v>1690</v>
      </c>
      <c r="AA648" s="50" t="s">
        <v>1689</v>
      </c>
      <c r="AB648" s="51">
        <v>0.1</v>
      </c>
    </row>
    <row r="649" spans="1:28" ht="13.5" customHeight="1">
      <c r="A649" s="27"/>
      <c r="B649" s="44"/>
      <c r="C649" s="36"/>
      <c r="D649" s="6"/>
      <c r="E649" s="46"/>
      <c r="F649" s="47"/>
      <c r="G649" s="48"/>
      <c r="H649" s="46"/>
      <c r="I649" s="47"/>
      <c r="J649" s="48"/>
      <c r="K649" s="46"/>
      <c r="L649" s="47"/>
      <c r="M649" s="48"/>
      <c r="N649" s="46"/>
      <c r="O649" s="47"/>
      <c r="P649" s="48"/>
      <c r="Q649" s="46" t="s">
        <v>1691</v>
      </c>
      <c r="R649" s="47" t="s">
        <v>1692</v>
      </c>
      <c r="S649" s="48">
        <v>0.5</v>
      </c>
      <c r="T649" s="46" t="s">
        <v>1691</v>
      </c>
      <c r="U649" s="47" t="s">
        <v>1692</v>
      </c>
      <c r="V649" s="48">
        <v>0.5</v>
      </c>
      <c r="W649" s="46" t="s">
        <v>1599</v>
      </c>
      <c r="X649" s="47" t="s">
        <v>2783</v>
      </c>
      <c r="Y649" s="48">
        <v>0.4</v>
      </c>
      <c r="Z649" s="49" t="s">
        <v>1693</v>
      </c>
      <c r="AA649" s="50" t="s">
        <v>1692</v>
      </c>
      <c r="AB649" s="51">
        <v>0.3</v>
      </c>
    </row>
    <row r="650" spans="1:28" ht="13.5" customHeight="1">
      <c r="A650" s="27"/>
      <c r="B650" s="44"/>
      <c r="C650" s="36"/>
      <c r="D650" s="6"/>
      <c r="E650" s="46"/>
      <c r="F650" s="47"/>
      <c r="G650" s="48"/>
      <c r="H650" s="46"/>
      <c r="I650" s="47"/>
      <c r="J650" s="48"/>
      <c r="K650" s="46"/>
      <c r="L650" s="47"/>
      <c r="M650" s="48"/>
      <c r="N650" s="46"/>
      <c r="O650" s="47"/>
      <c r="P650" s="48"/>
      <c r="Q650" s="46" t="s">
        <v>1694</v>
      </c>
      <c r="R650" s="47" t="s">
        <v>2784</v>
      </c>
      <c r="S650" s="48">
        <v>0.5</v>
      </c>
      <c r="T650" s="46" t="s">
        <v>1694</v>
      </c>
      <c r="U650" s="47" t="s">
        <v>2784</v>
      </c>
      <c r="V650" s="48">
        <v>0.4</v>
      </c>
      <c r="W650" s="46"/>
      <c r="X650" s="47"/>
      <c r="Y650" s="48"/>
      <c r="Z650" s="49"/>
      <c r="AA650" s="50"/>
      <c r="AB650" s="51"/>
    </row>
    <row r="651" spans="1:28" ht="13.5" customHeight="1">
      <c r="A651" s="27"/>
      <c r="B651" s="44"/>
      <c r="C651" s="36"/>
      <c r="D651" s="6"/>
      <c r="E651" s="46" t="s">
        <v>1686</v>
      </c>
      <c r="F651" s="47" t="s">
        <v>1695</v>
      </c>
      <c r="G651" s="48">
        <v>2.1</v>
      </c>
      <c r="H651" s="46" t="s">
        <v>1686</v>
      </c>
      <c r="I651" s="47" t="s">
        <v>1695</v>
      </c>
      <c r="J651" s="48">
        <v>1.8</v>
      </c>
      <c r="K651" s="46" t="s">
        <v>1686</v>
      </c>
      <c r="L651" s="47" t="s">
        <v>1695</v>
      </c>
      <c r="M651" s="48">
        <v>1.2</v>
      </c>
      <c r="N651" s="46" t="s">
        <v>1686</v>
      </c>
      <c r="O651" s="47" t="s">
        <v>1695</v>
      </c>
      <c r="P651" s="48">
        <v>1.2</v>
      </c>
      <c r="Q651" s="46" t="s">
        <v>1696</v>
      </c>
      <c r="R651" s="47" t="s">
        <v>1695</v>
      </c>
      <c r="S651" s="48">
        <v>1.2</v>
      </c>
      <c r="T651" s="46" t="s">
        <v>1696</v>
      </c>
      <c r="U651" s="47" t="s">
        <v>1695</v>
      </c>
      <c r="V651" s="48">
        <v>1.2</v>
      </c>
      <c r="W651" s="46" t="s">
        <v>1586</v>
      </c>
      <c r="X651" s="47" t="s">
        <v>2785</v>
      </c>
      <c r="Y651" s="48">
        <v>1.5</v>
      </c>
      <c r="Z651" s="49" t="s">
        <v>1697</v>
      </c>
      <c r="AA651" s="50" t="s">
        <v>1695</v>
      </c>
      <c r="AB651" s="51">
        <v>1.1000000000000001</v>
      </c>
    </row>
    <row r="652" spans="1:28" ht="13.5" customHeight="1">
      <c r="A652" s="27"/>
      <c r="B652" s="44"/>
      <c r="C652" s="44"/>
      <c r="D652" s="6"/>
      <c r="E652" s="46"/>
      <c r="F652" s="47"/>
      <c r="G652" s="48"/>
      <c r="H652" s="46"/>
      <c r="I652" s="47"/>
      <c r="J652" s="48"/>
      <c r="K652" s="46"/>
      <c r="L652" s="47"/>
      <c r="M652" s="48"/>
      <c r="N652" s="46"/>
      <c r="O652" s="47"/>
      <c r="P652" s="48"/>
      <c r="Q652" s="46"/>
      <c r="R652" s="47"/>
      <c r="S652" s="48"/>
      <c r="T652" s="46"/>
      <c r="U652" s="47"/>
      <c r="V652" s="48"/>
      <c r="W652" s="46"/>
      <c r="X652" s="47"/>
      <c r="Y652" s="48"/>
      <c r="Z652" s="49"/>
      <c r="AA652" s="50"/>
      <c r="AB652" s="51"/>
    </row>
    <row r="653" spans="1:28" ht="13.5" customHeight="1">
      <c r="A653" s="27"/>
      <c r="B653" s="44"/>
      <c r="C653" s="36"/>
      <c r="D653" s="6"/>
      <c r="E653" s="46"/>
      <c r="F653" s="47"/>
      <c r="G653" s="48"/>
      <c r="H653" s="46"/>
      <c r="I653" s="47"/>
      <c r="J653" s="48"/>
      <c r="K653" s="46" t="s">
        <v>1688</v>
      </c>
      <c r="L653" s="47" t="s">
        <v>1698</v>
      </c>
      <c r="M653" s="48">
        <v>0.4</v>
      </c>
      <c r="N653" s="46" t="s">
        <v>1688</v>
      </c>
      <c r="O653" s="47" t="s">
        <v>1698</v>
      </c>
      <c r="P653" s="48">
        <v>0.4</v>
      </c>
      <c r="Q653" s="46" t="s">
        <v>1699</v>
      </c>
      <c r="R653" s="47" t="s">
        <v>1698</v>
      </c>
      <c r="S653" s="48">
        <v>0.4</v>
      </c>
      <c r="T653" s="46" t="s">
        <v>1699</v>
      </c>
      <c r="U653" s="47" t="s">
        <v>1698</v>
      </c>
      <c r="V653" s="48">
        <v>0.4</v>
      </c>
      <c r="W653" s="46" t="s">
        <v>1589</v>
      </c>
      <c r="X653" s="47" t="s">
        <v>2786</v>
      </c>
      <c r="Y653" s="48">
        <v>0.5</v>
      </c>
      <c r="Z653" s="49" t="s">
        <v>1700</v>
      </c>
      <c r="AA653" s="50" t="s">
        <v>1698</v>
      </c>
      <c r="AB653" s="51">
        <v>0.5</v>
      </c>
    </row>
    <row r="654" spans="1:28" ht="13.5" customHeight="1">
      <c r="A654" s="27"/>
      <c r="B654" s="44"/>
      <c r="C654" s="36"/>
      <c r="D654" s="6"/>
      <c r="E654" s="46" t="s">
        <v>1694</v>
      </c>
      <c r="F654" s="47" t="s">
        <v>2997</v>
      </c>
      <c r="G654" s="48">
        <v>3.3</v>
      </c>
      <c r="H654" s="46" t="s">
        <v>1694</v>
      </c>
      <c r="I654" s="47" t="s">
        <v>2997</v>
      </c>
      <c r="J654" s="48">
        <v>2.9</v>
      </c>
      <c r="K654" s="46" t="s">
        <v>1694</v>
      </c>
      <c r="L654" s="47" t="s">
        <v>2787</v>
      </c>
      <c r="M654" s="48">
        <v>1.9</v>
      </c>
      <c r="N654" s="46" t="s">
        <v>1694</v>
      </c>
      <c r="O654" s="47" t="s">
        <v>2787</v>
      </c>
      <c r="P654" s="48">
        <v>1.5</v>
      </c>
      <c r="Q654" s="46" t="s">
        <v>1701</v>
      </c>
      <c r="R654" s="47" t="s">
        <v>1702</v>
      </c>
      <c r="S654" s="48">
        <v>1.2</v>
      </c>
      <c r="T654" s="46" t="s">
        <v>1701</v>
      </c>
      <c r="U654" s="47" t="s">
        <v>1702</v>
      </c>
      <c r="V654" s="48">
        <v>1</v>
      </c>
      <c r="W654" s="46" t="s">
        <v>1608</v>
      </c>
      <c r="X654" s="47" t="s">
        <v>2788</v>
      </c>
      <c r="Y654" s="48">
        <v>0.6</v>
      </c>
      <c r="Z654" s="49" t="s">
        <v>1703</v>
      </c>
      <c r="AA654" s="50" t="s">
        <v>1702</v>
      </c>
      <c r="AB654" s="51">
        <v>0.4</v>
      </c>
    </row>
    <row r="655" spans="1:28" ht="13.5" customHeight="1">
      <c r="A655" s="27"/>
      <c r="B655" s="44"/>
      <c r="C655" s="36"/>
      <c r="D655" s="6"/>
      <c r="E655" s="46" t="s">
        <v>1696</v>
      </c>
      <c r="F655" s="47" t="s">
        <v>2998</v>
      </c>
      <c r="G655" s="48">
        <v>2.6</v>
      </c>
      <c r="H655" s="46" t="s">
        <v>1696</v>
      </c>
      <c r="I655" s="47" t="s">
        <v>2998</v>
      </c>
      <c r="J655" s="48">
        <v>2</v>
      </c>
      <c r="K655" s="46" t="s">
        <v>1696</v>
      </c>
      <c r="L655" s="47" t="s">
        <v>2789</v>
      </c>
      <c r="M655" s="48">
        <v>1.2</v>
      </c>
      <c r="N655" s="46" t="s">
        <v>1696</v>
      </c>
      <c r="O655" s="47" t="s">
        <v>2789</v>
      </c>
      <c r="P655" s="48">
        <v>1</v>
      </c>
      <c r="Q655" s="46" t="s">
        <v>1704</v>
      </c>
      <c r="R655" s="47" t="s">
        <v>1705</v>
      </c>
      <c r="S655" s="48">
        <v>0.3</v>
      </c>
      <c r="T655" s="46" t="s">
        <v>1704</v>
      </c>
      <c r="U655" s="47" t="s">
        <v>1705</v>
      </c>
      <c r="V655" s="48">
        <v>0.4</v>
      </c>
      <c r="W655" s="46" t="s">
        <v>1706</v>
      </c>
      <c r="X655" s="47" t="s">
        <v>2790</v>
      </c>
      <c r="Y655" s="48">
        <v>0.4</v>
      </c>
      <c r="Z655" s="49"/>
      <c r="AA655" s="50"/>
      <c r="AB655" s="51"/>
    </row>
    <row r="656" spans="1:28" ht="13.5" customHeight="1">
      <c r="A656" s="27"/>
      <c r="B656" s="44"/>
      <c r="C656" s="36"/>
      <c r="D656" s="6"/>
      <c r="E656" s="46"/>
      <c r="F656" s="47"/>
      <c r="G656" s="48"/>
      <c r="H656" s="46"/>
      <c r="I656" s="47"/>
      <c r="J656" s="48"/>
      <c r="K656" s="46"/>
      <c r="L656" s="47"/>
      <c r="M656" s="48"/>
      <c r="N656" s="46"/>
      <c r="O656" s="47"/>
      <c r="P656" s="48"/>
      <c r="Q656" s="46" t="s">
        <v>1707</v>
      </c>
      <c r="R656" s="47" t="s">
        <v>1708</v>
      </c>
      <c r="S656" s="48">
        <v>0.3</v>
      </c>
      <c r="T656" s="46" t="s">
        <v>1707</v>
      </c>
      <c r="U656" s="47" t="s">
        <v>1708</v>
      </c>
      <c r="V656" s="48">
        <v>0.3</v>
      </c>
      <c r="W656" s="46"/>
      <c r="X656" s="47"/>
      <c r="Y656" s="48"/>
      <c r="Z656" s="49"/>
      <c r="AA656" s="50"/>
      <c r="AB656" s="51"/>
    </row>
    <row r="657" spans="1:28" ht="13.5" customHeight="1">
      <c r="A657" s="27"/>
      <c r="B657" s="44"/>
      <c r="C657" s="36"/>
      <c r="D657" s="6"/>
      <c r="E657" s="46" t="s">
        <v>1691</v>
      </c>
      <c r="F657" s="56" t="s">
        <v>1709</v>
      </c>
      <c r="G657" s="48">
        <v>0.4</v>
      </c>
      <c r="H657" s="46" t="s">
        <v>1691</v>
      </c>
      <c r="I657" s="56" t="s">
        <v>1709</v>
      </c>
      <c r="J657" s="48">
        <v>0.3</v>
      </c>
      <c r="K657" s="46" t="s">
        <v>1691</v>
      </c>
      <c r="L657" s="56" t="s">
        <v>1709</v>
      </c>
      <c r="M657" s="48">
        <v>0.1</v>
      </c>
      <c r="N657" s="46" t="s">
        <v>1691</v>
      </c>
      <c r="O657" s="56" t="s">
        <v>1709</v>
      </c>
      <c r="P657" s="48">
        <v>0.1</v>
      </c>
      <c r="Q657" s="57" t="s">
        <v>1710</v>
      </c>
      <c r="R657" s="56" t="s">
        <v>1709</v>
      </c>
      <c r="S657" s="58">
        <v>0.1</v>
      </c>
      <c r="T657" s="57" t="s">
        <v>1710</v>
      </c>
      <c r="U657" s="56" t="s">
        <v>1709</v>
      </c>
      <c r="V657" s="58">
        <v>0.1</v>
      </c>
      <c r="W657" s="57"/>
      <c r="X657" s="56"/>
      <c r="Y657" s="58"/>
      <c r="Z657" s="59"/>
      <c r="AA657" s="60"/>
      <c r="AB657" s="61"/>
    </row>
    <row r="658" spans="1:28" ht="13.5" customHeight="1">
      <c r="A658" s="27"/>
      <c r="B658" s="161"/>
      <c r="C658" s="82"/>
      <c r="D658" s="83"/>
      <c r="E658" s="46" t="s">
        <v>1688</v>
      </c>
      <c r="F658" s="198" t="s">
        <v>2999</v>
      </c>
      <c r="G658" s="48">
        <v>0.7</v>
      </c>
      <c r="H658" s="46" t="s">
        <v>1688</v>
      </c>
      <c r="I658" s="198" t="s">
        <v>2999</v>
      </c>
      <c r="J658" s="48">
        <v>0.7</v>
      </c>
      <c r="K658" s="46"/>
      <c r="L658" s="198"/>
      <c r="M658" s="48"/>
      <c r="N658" s="46"/>
      <c r="O658" s="198"/>
      <c r="P658" s="48"/>
      <c r="Q658" s="204"/>
      <c r="R658" s="198"/>
      <c r="S658" s="77"/>
      <c r="T658" s="204"/>
      <c r="U658" s="198"/>
      <c r="V658" s="77"/>
      <c r="W658" s="76"/>
      <c r="X658" s="75"/>
      <c r="Y658" s="77"/>
      <c r="Z658" s="78"/>
      <c r="AA658" s="79"/>
      <c r="AB658" s="80"/>
    </row>
    <row r="659" spans="1:28" ht="13.5" customHeight="1">
      <c r="A659" s="27"/>
      <c r="B659" s="36" t="s">
        <v>1711</v>
      </c>
      <c r="C659" s="21"/>
      <c r="D659" s="6" t="s">
        <v>1712</v>
      </c>
      <c r="E659" s="31" t="s">
        <v>1713</v>
      </c>
      <c r="F659" s="88"/>
      <c r="G659" s="33">
        <f>G660+G674</f>
        <v>27.099999999999994</v>
      </c>
      <c r="H659" s="31" t="s">
        <v>1713</v>
      </c>
      <c r="I659" s="88"/>
      <c r="J659" s="33">
        <f>J660+J674</f>
        <v>24.900000000000002</v>
      </c>
      <c r="K659" s="31" t="s">
        <v>1713</v>
      </c>
      <c r="L659" s="88"/>
      <c r="M659" s="33">
        <f>M660+M674</f>
        <v>21.9</v>
      </c>
      <c r="N659" s="31" t="s">
        <v>1713</v>
      </c>
      <c r="O659" s="88"/>
      <c r="P659" s="33">
        <f>P660+P674</f>
        <v>21.7</v>
      </c>
      <c r="Q659" s="31" t="s">
        <v>1713</v>
      </c>
      <c r="R659" s="88"/>
      <c r="S659" s="33">
        <f>S660+S674</f>
        <v>17.599999999999998</v>
      </c>
      <c r="T659" s="31" t="s">
        <v>1713</v>
      </c>
      <c r="U659" s="88"/>
      <c r="V659" s="33">
        <f>V660+V674</f>
        <v>16.799999999999997</v>
      </c>
      <c r="W659" s="96"/>
      <c r="X659" s="88"/>
      <c r="Y659" s="33">
        <f>Y660+Y674</f>
        <v>19.2</v>
      </c>
      <c r="Z659" s="90"/>
      <c r="AA659" s="91"/>
      <c r="AB659" s="33">
        <f>AB660+AB674</f>
        <v>12.7</v>
      </c>
    </row>
    <row r="660" spans="1:28" ht="13.5" customHeight="1">
      <c r="A660" s="27"/>
      <c r="B660" s="44"/>
      <c r="C660" s="28" t="s">
        <v>1714</v>
      </c>
      <c r="D660" s="30" t="s">
        <v>1715</v>
      </c>
      <c r="E660" s="37" t="s">
        <v>1716</v>
      </c>
      <c r="F660" s="71"/>
      <c r="G660" s="39">
        <f>SUM(G661:G673)</f>
        <v>10.999999999999998</v>
      </c>
      <c r="H660" s="37" t="s">
        <v>1716</v>
      </c>
      <c r="I660" s="71"/>
      <c r="J660" s="39">
        <f>SUM(J661:J673)</f>
        <v>8.8000000000000007</v>
      </c>
      <c r="K660" s="37" t="s">
        <v>1716</v>
      </c>
      <c r="L660" s="71"/>
      <c r="M660" s="39">
        <f>SUM(M661:M673)</f>
        <v>8</v>
      </c>
      <c r="N660" s="37" t="s">
        <v>1716</v>
      </c>
      <c r="O660" s="71"/>
      <c r="P660" s="39">
        <f>SUM(P661:P673)</f>
        <v>7.3999999999999995</v>
      </c>
      <c r="Q660" s="37" t="s">
        <v>1716</v>
      </c>
      <c r="R660" s="71"/>
      <c r="S660" s="39">
        <f>SUM(S661:S673)</f>
        <v>6.1999999999999993</v>
      </c>
      <c r="T660" s="37" t="s">
        <v>1716</v>
      </c>
      <c r="U660" s="71"/>
      <c r="V660" s="39">
        <f>SUM(V661:V673)</f>
        <v>6.1999999999999993</v>
      </c>
      <c r="W660" s="72"/>
      <c r="X660" s="71"/>
      <c r="Y660" s="39">
        <f>SUM(Y661:Y673)</f>
        <v>6.2</v>
      </c>
      <c r="Z660" s="42"/>
      <c r="AA660" s="43"/>
      <c r="AB660" s="39">
        <f>SUM(AB661:AB673)</f>
        <v>5.8</v>
      </c>
    </row>
    <row r="661" spans="1:28" ht="13.5" customHeight="1">
      <c r="A661" s="27"/>
      <c r="B661" s="144"/>
      <c r="C661" s="21"/>
      <c r="D661" s="45"/>
      <c r="E661" s="46" t="s">
        <v>1718</v>
      </c>
      <c r="F661" s="47" t="s">
        <v>1717</v>
      </c>
      <c r="G661" s="48">
        <v>0.2</v>
      </c>
      <c r="H661" s="46" t="s">
        <v>1718</v>
      </c>
      <c r="I661" s="47" t="s">
        <v>1717</v>
      </c>
      <c r="J661" s="48">
        <v>0.3</v>
      </c>
      <c r="K661" s="46" t="s">
        <v>1718</v>
      </c>
      <c r="L661" s="47" t="s">
        <v>1717</v>
      </c>
      <c r="M661" s="48">
        <v>0.2</v>
      </c>
      <c r="N661" s="46" t="s">
        <v>1718</v>
      </c>
      <c r="O661" s="47" t="s">
        <v>1717</v>
      </c>
      <c r="P661" s="48">
        <v>0.2</v>
      </c>
      <c r="Q661" s="46" t="s">
        <v>1718</v>
      </c>
      <c r="R661" s="47" t="s">
        <v>1717</v>
      </c>
      <c r="S661" s="48">
        <v>0.1</v>
      </c>
      <c r="T661" s="46" t="s">
        <v>1718</v>
      </c>
      <c r="U661" s="47" t="s">
        <v>1717</v>
      </c>
      <c r="V661" s="48">
        <v>0.1</v>
      </c>
      <c r="W661" s="46" t="s">
        <v>1719</v>
      </c>
      <c r="X661" s="47" t="s">
        <v>2791</v>
      </c>
      <c r="Y661" s="48">
        <v>0.1</v>
      </c>
      <c r="Z661" s="49" t="s">
        <v>1720</v>
      </c>
      <c r="AA661" s="50" t="s">
        <v>1717</v>
      </c>
      <c r="AB661" s="51">
        <v>0.1</v>
      </c>
    </row>
    <row r="662" spans="1:28" ht="13.5" customHeight="1">
      <c r="A662" s="27"/>
      <c r="B662" s="44"/>
      <c r="C662" s="36"/>
      <c r="D662" s="6"/>
      <c r="E662" s="46"/>
      <c r="F662" s="47"/>
      <c r="G662" s="48"/>
      <c r="H662" s="46"/>
      <c r="I662" s="47"/>
      <c r="J662" s="48"/>
      <c r="K662" s="46" t="s">
        <v>1722</v>
      </c>
      <c r="L662" s="47" t="s">
        <v>1721</v>
      </c>
      <c r="M662" s="48">
        <v>0.3</v>
      </c>
      <c r="N662" s="46" t="s">
        <v>1722</v>
      </c>
      <c r="O662" s="47" t="s">
        <v>1721</v>
      </c>
      <c r="P662" s="48">
        <v>0.3</v>
      </c>
      <c r="Q662" s="46" t="s">
        <v>1722</v>
      </c>
      <c r="R662" s="47" t="s">
        <v>1721</v>
      </c>
      <c r="S662" s="48">
        <v>0.3</v>
      </c>
      <c r="T662" s="46" t="s">
        <v>1722</v>
      </c>
      <c r="U662" s="47" t="s">
        <v>1721</v>
      </c>
      <c r="V662" s="48">
        <v>0.4</v>
      </c>
      <c r="W662" s="46" t="s">
        <v>1723</v>
      </c>
      <c r="X662" s="47" t="s">
        <v>2792</v>
      </c>
      <c r="Y662" s="48">
        <v>0.1</v>
      </c>
      <c r="Z662" s="49"/>
      <c r="AA662" s="50"/>
      <c r="AB662" s="51"/>
    </row>
    <row r="663" spans="1:28" ht="13.5" customHeight="1">
      <c r="A663" s="27"/>
      <c r="B663" s="44"/>
      <c r="C663" s="36"/>
      <c r="D663" s="6"/>
      <c r="E663" s="46" t="s">
        <v>1722</v>
      </c>
      <c r="F663" s="47" t="s">
        <v>1724</v>
      </c>
      <c r="G663" s="48">
        <v>0.2</v>
      </c>
      <c r="H663" s="46" t="s">
        <v>1722</v>
      </c>
      <c r="I663" s="47" t="s">
        <v>1724</v>
      </c>
      <c r="J663" s="48">
        <v>0.4</v>
      </c>
      <c r="K663" s="46" t="s">
        <v>1725</v>
      </c>
      <c r="L663" s="47" t="s">
        <v>1724</v>
      </c>
      <c r="M663" s="48">
        <v>0.2</v>
      </c>
      <c r="N663" s="46" t="s">
        <v>1725</v>
      </c>
      <c r="O663" s="47" t="s">
        <v>1724</v>
      </c>
      <c r="P663" s="48">
        <v>0.1</v>
      </c>
      <c r="Q663" s="46" t="s">
        <v>1725</v>
      </c>
      <c r="R663" s="47" t="s">
        <v>1724</v>
      </c>
      <c r="S663" s="48">
        <v>0.1</v>
      </c>
      <c r="T663" s="46" t="s">
        <v>1725</v>
      </c>
      <c r="U663" s="47" t="s">
        <v>1724</v>
      </c>
      <c r="V663" s="48">
        <v>0.1</v>
      </c>
      <c r="W663" s="46" t="s">
        <v>1726</v>
      </c>
      <c r="X663" s="47" t="s">
        <v>2793</v>
      </c>
      <c r="Y663" s="48">
        <v>0.1</v>
      </c>
      <c r="Z663" s="49" t="s">
        <v>1727</v>
      </c>
      <c r="AA663" s="50" t="s">
        <v>1724</v>
      </c>
      <c r="AB663" s="51">
        <v>0.2</v>
      </c>
    </row>
    <row r="664" spans="1:28" ht="13.5" customHeight="1">
      <c r="A664" s="27"/>
      <c r="B664" s="44"/>
      <c r="C664" s="36"/>
      <c r="D664" s="6"/>
      <c r="E664" s="46" t="s">
        <v>1725</v>
      </c>
      <c r="F664" s="47" t="s">
        <v>1728</v>
      </c>
      <c r="G664" s="48">
        <v>1.5</v>
      </c>
      <c r="H664" s="46" t="s">
        <v>1725</v>
      </c>
      <c r="I664" s="47" t="s">
        <v>1728</v>
      </c>
      <c r="J664" s="48">
        <v>1.6</v>
      </c>
      <c r="K664" s="46" t="s">
        <v>1729</v>
      </c>
      <c r="L664" s="47" t="s">
        <v>1728</v>
      </c>
      <c r="M664" s="48">
        <v>1</v>
      </c>
      <c r="N664" s="46" t="s">
        <v>1729</v>
      </c>
      <c r="O664" s="47" t="s">
        <v>1728</v>
      </c>
      <c r="P664" s="48">
        <v>0.8</v>
      </c>
      <c r="Q664" s="46" t="s">
        <v>1729</v>
      </c>
      <c r="R664" s="47" t="s">
        <v>1728</v>
      </c>
      <c r="S664" s="48">
        <v>0.6</v>
      </c>
      <c r="T664" s="46" t="s">
        <v>1729</v>
      </c>
      <c r="U664" s="47" t="s">
        <v>1728</v>
      </c>
      <c r="V664" s="48">
        <v>0.5</v>
      </c>
      <c r="W664" s="46" t="s">
        <v>1730</v>
      </c>
      <c r="X664" s="47" t="s">
        <v>2794</v>
      </c>
      <c r="Y664" s="48">
        <v>0.6</v>
      </c>
      <c r="Z664" s="49" t="s">
        <v>1731</v>
      </c>
      <c r="AA664" s="50" t="s">
        <v>1728</v>
      </c>
      <c r="AB664" s="51">
        <v>0.7</v>
      </c>
    </row>
    <row r="665" spans="1:28" ht="13.5" customHeight="1">
      <c r="A665" s="27"/>
      <c r="B665" s="44"/>
      <c r="C665" s="36"/>
      <c r="D665" s="6"/>
      <c r="E665" s="46" t="s">
        <v>1729</v>
      </c>
      <c r="F665" s="47" t="s">
        <v>1732</v>
      </c>
      <c r="G665" s="48">
        <v>2.2999999999999998</v>
      </c>
      <c r="H665" s="46" t="s">
        <v>1729</v>
      </c>
      <c r="I665" s="47" t="s">
        <v>1732</v>
      </c>
      <c r="J665" s="48">
        <v>1.7</v>
      </c>
      <c r="K665" s="46" t="s">
        <v>1733</v>
      </c>
      <c r="L665" s="47" t="s">
        <v>1732</v>
      </c>
      <c r="M665" s="48">
        <v>1.3</v>
      </c>
      <c r="N665" s="46" t="s">
        <v>1733</v>
      </c>
      <c r="O665" s="47" t="s">
        <v>1732</v>
      </c>
      <c r="P665" s="48">
        <v>1.1000000000000001</v>
      </c>
      <c r="Q665" s="46" t="s">
        <v>1733</v>
      </c>
      <c r="R665" s="47" t="s">
        <v>1732</v>
      </c>
      <c r="S665" s="48">
        <v>1</v>
      </c>
      <c r="T665" s="46" t="s">
        <v>1733</v>
      </c>
      <c r="U665" s="47" t="s">
        <v>1732</v>
      </c>
      <c r="V665" s="48">
        <v>0.9</v>
      </c>
      <c r="W665" s="46" t="s">
        <v>1734</v>
      </c>
      <c r="X665" s="47" t="s">
        <v>2795</v>
      </c>
      <c r="Y665" s="48">
        <v>0.9</v>
      </c>
      <c r="Z665" s="49" t="s">
        <v>1735</v>
      </c>
      <c r="AA665" s="50" t="s">
        <v>1732</v>
      </c>
      <c r="AB665" s="51">
        <v>0.7</v>
      </c>
    </row>
    <row r="666" spans="1:28" ht="13.5" customHeight="1">
      <c r="A666" s="27"/>
      <c r="B666" s="44"/>
      <c r="C666" s="36"/>
      <c r="D666" s="6"/>
      <c r="E666" s="46" t="s">
        <v>1733</v>
      </c>
      <c r="F666" s="47" t="s">
        <v>1736</v>
      </c>
      <c r="G666" s="48">
        <v>3</v>
      </c>
      <c r="H666" s="46" t="s">
        <v>1733</v>
      </c>
      <c r="I666" s="47" t="s">
        <v>1736</v>
      </c>
      <c r="J666" s="48">
        <v>2.2999999999999998</v>
      </c>
      <c r="K666" s="46" t="s">
        <v>1737</v>
      </c>
      <c r="L666" s="47" t="s">
        <v>1736</v>
      </c>
      <c r="M666" s="48">
        <v>1.7</v>
      </c>
      <c r="N666" s="46" t="s">
        <v>1737</v>
      </c>
      <c r="O666" s="47" t="s">
        <v>1736</v>
      </c>
      <c r="P666" s="48">
        <v>1.8</v>
      </c>
      <c r="Q666" s="46" t="s">
        <v>1737</v>
      </c>
      <c r="R666" s="47" t="s">
        <v>1736</v>
      </c>
      <c r="S666" s="48">
        <v>1.5</v>
      </c>
      <c r="T666" s="46" t="s">
        <v>1737</v>
      </c>
      <c r="U666" s="47" t="s">
        <v>1736</v>
      </c>
      <c r="V666" s="48">
        <v>1.7</v>
      </c>
      <c r="W666" s="46" t="s">
        <v>1738</v>
      </c>
      <c r="X666" s="47" t="s">
        <v>2796</v>
      </c>
      <c r="Y666" s="48">
        <v>0.9</v>
      </c>
      <c r="Z666" s="49" t="s">
        <v>1739</v>
      </c>
      <c r="AA666" s="50" t="s">
        <v>1736</v>
      </c>
      <c r="AB666" s="51">
        <v>0.7</v>
      </c>
    </row>
    <row r="667" spans="1:28" ht="13.5" customHeight="1">
      <c r="A667" s="27"/>
      <c r="B667" s="44"/>
      <c r="C667" s="36"/>
      <c r="D667" s="6"/>
      <c r="E667" s="46" t="s">
        <v>1753</v>
      </c>
      <c r="F667" s="47" t="s">
        <v>1740</v>
      </c>
      <c r="G667" s="48">
        <v>0.5</v>
      </c>
      <c r="H667" s="46" t="s">
        <v>1753</v>
      </c>
      <c r="I667" s="47" t="s">
        <v>1740</v>
      </c>
      <c r="J667" s="48">
        <v>0.4</v>
      </c>
      <c r="K667" s="46" t="s">
        <v>1741</v>
      </c>
      <c r="L667" s="47" t="s">
        <v>1740</v>
      </c>
      <c r="M667" s="48">
        <v>0.5</v>
      </c>
      <c r="N667" s="46" t="s">
        <v>1741</v>
      </c>
      <c r="O667" s="47" t="s">
        <v>1740</v>
      </c>
      <c r="P667" s="48">
        <v>0.6</v>
      </c>
      <c r="Q667" s="46" t="s">
        <v>1741</v>
      </c>
      <c r="R667" s="47" t="s">
        <v>1740</v>
      </c>
      <c r="S667" s="48">
        <v>0.5</v>
      </c>
      <c r="T667" s="46" t="s">
        <v>1741</v>
      </c>
      <c r="U667" s="47" t="s">
        <v>1740</v>
      </c>
      <c r="V667" s="48">
        <v>0.7</v>
      </c>
      <c r="W667" s="46" t="s">
        <v>1742</v>
      </c>
      <c r="X667" s="47" t="s">
        <v>2797</v>
      </c>
      <c r="Y667" s="48">
        <v>0.7</v>
      </c>
      <c r="Z667" s="49" t="s">
        <v>1743</v>
      </c>
      <c r="AA667" s="50" t="s">
        <v>1740</v>
      </c>
      <c r="AB667" s="51">
        <v>1.1000000000000001</v>
      </c>
    </row>
    <row r="668" spans="1:28" ht="13.5" customHeight="1">
      <c r="A668" s="27"/>
      <c r="B668" s="44"/>
      <c r="C668" s="36"/>
      <c r="D668" s="6"/>
      <c r="E668" s="46" t="s">
        <v>1741</v>
      </c>
      <c r="F668" s="47" t="s">
        <v>1744</v>
      </c>
      <c r="G668" s="48">
        <v>0.3</v>
      </c>
      <c r="H668" s="46" t="s">
        <v>1741</v>
      </c>
      <c r="I668" s="47" t="s">
        <v>1744</v>
      </c>
      <c r="J668" s="48">
        <v>0.3</v>
      </c>
      <c r="K668" s="46" t="s">
        <v>1745</v>
      </c>
      <c r="L668" s="47" t="s">
        <v>1744</v>
      </c>
      <c r="M668" s="48">
        <v>0.3</v>
      </c>
      <c r="N668" s="46" t="s">
        <v>1745</v>
      </c>
      <c r="O668" s="47" t="s">
        <v>1744</v>
      </c>
      <c r="P668" s="48">
        <v>0.2</v>
      </c>
      <c r="Q668" s="46" t="s">
        <v>1745</v>
      </c>
      <c r="R668" s="47" t="s">
        <v>1744</v>
      </c>
      <c r="S668" s="48">
        <v>0.2</v>
      </c>
      <c r="T668" s="46" t="s">
        <v>1745</v>
      </c>
      <c r="U668" s="47" t="s">
        <v>1744</v>
      </c>
      <c r="V668" s="48">
        <v>0.3</v>
      </c>
      <c r="W668" s="46" t="s">
        <v>1746</v>
      </c>
      <c r="X668" s="47" t="s">
        <v>2798</v>
      </c>
      <c r="Y668" s="48">
        <v>0.6</v>
      </c>
      <c r="Z668" s="49" t="s">
        <v>1747</v>
      </c>
      <c r="AA668" s="50" t="s">
        <v>1744</v>
      </c>
      <c r="AB668" s="51">
        <v>1</v>
      </c>
    </row>
    <row r="669" spans="1:28" ht="13.5" customHeight="1">
      <c r="A669" s="27"/>
      <c r="B669" s="44"/>
      <c r="C669" s="36"/>
      <c r="D669" s="6"/>
      <c r="E669" s="46" t="s">
        <v>1745</v>
      </c>
      <c r="F669" s="47" t="s">
        <v>1748</v>
      </c>
      <c r="G669" s="48">
        <v>2.2999999999999998</v>
      </c>
      <c r="H669" s="46" t="s">
        <v>1745</v>
      </c>
      <c r="I669" s="47" t="s">
        <v>1748</v>
      </c>
      <c r="J669" s="48">
        <v>1.4</v>
      </c>
      <c r="K669" s="46" t="s">
        <v>1749</v>
      </c>
      <c r="L669" s="47" t="s">
        <v>1748</v>
      </c>
      <c r="M669" s="48">
        <v>1.4</v>
      </c>
      <c r="N669" s="46" t="s">
        <v>1749</v>
      </c>
      <c r="O669" s="47" t="s">
        <v>1748</v>
      </c>
      <c r="P669" s="48">
        <v>1.2</v>
      </c>
      <c r="Q669" s="46" t="s">
        <v>1749</v>
      </c>
      <c r="R669" s="47" t="s">
        <v>1748</v>
      </c>
      <c r="S669" s="48">
        <v>1</v>
      </c>
      <c r="T669" s="46" t="s">
        <v>1749</v>
      </c>
      <c r="U669" s="47" t="s">
        <v>1748</v>
      </c>
      <c r="V669" s="48">
        <v>0.7</v>
      </c>
      <c r="W669" s="46" t="s">
        <v>1750</v>
      </c>
      <c r="X669" s="47" t="s">
        <v>2799</v>
      </c>
      <c r="Y669" s="48">
        <v>0.7</v>
      </c>
      <c r="Z669" s="49" t="s">
        <v>1751</v>
      </c>
      <c r="AA669" s="50" t="s">
        <v>1748</v>
      </c>
      <c r="AB669" s="51">
        <v>0.2</v>
      </c>
    </row>
    <row r="670" spans="1:28" ht="13.5" customHeight="1">
      <c r="A670" s="27"/>
      <c r="B670" s="44"/>
      <c r="C670" s="36"/>
      <c r="D670" s="6"/>
      <c r="E670" s="46" t="s">
        <v>1737</v>
      </c>
      <c r="F670" s="47" t="s">
        <v>1752</v>
      </c>
      <c r="G670" s="48">
        <v>0.5</v>
      </c>
      <c r="H670" s="46" t="s">
        <v>1737</v>
      </c>
      <c r="I670" s="47" t="s">
        <v>1752</v>
      </c>
      <c r="J670" s="48">
        <v>0.3</v>
      </c>
      <c r="K670" s="46" t="s">
        <v>1753</v>
      </c>
      <c r="L670" s="47" t="s">
        <v>1752</v>
      </c>
      <c r="M670" s="48">
        <v>0.5</v>
      </c>
      <c r="N670" s="46" t="s">
        <v>1753</v>
      </c>
      <c r="O670" s="47" t="s">
        <v>1752</v>
      </c>
      <c r="P670" s="48">
        <v>0.6</v>
      </c>
      <c r="Q670" s="46" t="s">
        <v>1753</v>
      </c>
      <c r="R670" s="47" t="s">
        <v>1752</v>
      </c>
      <c r="S670" s="48">
        <v>0.6</v>
      </c>
      <c r="T670" s="46" t="s">
        <v>1753</v>
      </c>
      <c r="U670" s="47" t="s">
        <v>1752</v>
      </c>
      <c r="V670" s="48">
        <v>0.6</v>
      </c>
      <c r="W670" s="46" t="s">
        <v>1754</v>
      </c>
      <c r="X670" s="47" t="s">
        <v>2800</v>
      </c>
      <c r="Y670" s="48">
        <v>0.5</v>
      </c>
      <c r="Z670" s="49" t="s">
        <v>1755</v>
      </c>
      <c r="AA670" s="50" t="s">
        <v>1752</v>
      </c>
      <c r="AB670" s="51">
        <v>0.6</v>
      </c>
    </row>
    <row r="671" spans="1:28" ht="13.5" customHeight="1">
      <c r="A671" s="27"/>
      <c r="B671" s="44"/>
      <c r="C671" s="36"/>
      <c r="D671" s="6"/>
      <c r="E671" s="46"/>
      <c r="F671" s="47"/>
      <c r="G671" s="48"/>
      <c r="H671" s="46"/>
      <c r="I671" s="47"/>
      <c r="J671" s="48"/>
      <c r="K671" s="46" t="s">
        <v>1757</v>
      </c>
      <c r="L671" s="47" t="s">
        <v>1756</v>
      </c>
      <c r="M671" s="48">
        <v>0.4</v>
      </c>
      <c r="N671" s="46" t="s">
        <v>1757</v>
      </c>
      <c r="O671" s="47" t="s">
        <v>1756</v>
      </c>
      <c r="P671" s="48">
        <v>0.3</v>
      </c>
      <c r="Q671" s="46" t="s">
        <v>1757</v>
      </c>
      <c r="R671" s="47" t="s">
        <v>1756</v>
      </c>
      <c r="S671" s="48">
        <v>0.2</v>
      </c>
      <c r="T671" s="46" t="s">
        <v>1757</v>
      </c>
      <c r="U671" s="47" t="s">
        <v>1756</v>
      </c>
      <c r="V671" s="48">
        <v>0.1</v>
      </c>
      <c r="W671" s="46" t="s">
        <v>1758</v>
      </c>
      <c r="X671" s="47" t="s">
        <v>2801</v>
      </c>
      <c r="Y671" s="48">
        <v>0.5</v>
      </c>
      <c r="Z671" s="49"/>
      <c r="AA671" s="50"/>
      <c r="AB671" s="51"/>
    </row>
    <row r="672" spans="1:28" ht="13.5" customHeight="1">
      <c r="A672" s="27"/>
      <c r="B672" s="44"/>
      <c r="C672" s="36"/>
      <c r="D672" s="6"/>
      <c r="E672" s="46" t="s">
        <v>1749</v>
      </c>
      <c r="F672" s="47" t="s">
        <v>1759</v>
      </c>
      <c r="G672" s="48">
        <v>0.2</v>
      </c>
      <c r="H672" s="46" t="s">
        <v>1749</v>
      </c>
      <c r="I672" s="47" t="s">
        <v>1759</v>
      </c>
      <c r="J672" s="48">
        <v>0.1</v>
      </c>
      <c r="K672" s="46" t="s">
        <v>1760</v>
      </c>
      <c r="L672" s="47" t="s">
        <v>1759</v>
      </c>
      <c r="M672" s="48">
        <v>0.2</v>
      </c>
      <c r="N672" s="46" t="s">
        <v>1760</v>
      </c>
      <c r="O672" s="47" t="s">
        <v>1759</v>
      </c>
      <c r="P672" s="48">
        <v>0.2</v>
      </c>
      <c r="Q672" s="46" t="s">
        <v>1760</v>
      </c>
      <c r="R672" s="47" t="s">
        <v>1759</v>
      </c>
      <c r="S672" s="48">
        <v>0.1</v>
      </c>
      <c r="T672" s="46" t="s">
        <v>1760</v>
      </c>
      <c r="U672" s="47" t="s">
        <v>1759</v>
      </c>
      <c r="V672" s="48">
        <v>0.1</v>
      </c>
      <c r="W672" s="46" t="s">
        <v>1761</v>
      </c>
      <c r="X672" s="47" t="s">
        <v>2802</v>
      </c>
      <c r="Y672" s="48">
        <v>0.2</v>
      </c>
      <c r="Z672" s="49" t="s">
        <v>1762</v>
      </c>
      <c r="AA672" s="50" t="s">
        <v>1759</v>
      </c>
      <c r="AB672" s="51">
        <v>0.2</v>
      </c>
    </row>
    <row r="673" spans="1:28" ht="13.5" customHeight="1">
      <c r="A673" s="27"/>
      <c r="B673" s="44"/>
      <c r="C673" s="36"/>
      <c r="D673" s="6"/>
      <c r="E673" s="46"/>
      <c r="F673" s="75"/>
      <c r="G673" s="48"/>
      <c r="H673" s="46"/>
      <c r="I673" s="75"/>
      <c r="J673" s="48"/>
      <c r="K673" s="46"/>
      <c r="L673" s="75"/>
      <c r="M673" s="48"/>
      <c r="N673" s="46"/>
      <c r="O673" s="75"/>
      <c r="P673" s="48"/>
      <c r="Q673" s="76"/>
      <c r="R673" s="75"/>
      <c r="S673" s="77"/>
      <c r="T673" s="76"/>
      <c r="U673" s="75"/>
      <c r="V673" s="77"/>
      <c r="W673" s="76" t="s">
        <v>1763</v>
      </c>
      <c r="X673" s="75" t="s">
        <v>2803</v>
      </c>
      <c r="Y673" s="77">
        <v>0.3</v>
      </c>
      <c r="Z673" s="78" t="s">
        <v>1764</v>
      </c>
      <c r="AA673" s="79" t="s">
        <v>1765</v>
      </c>
      <c r="AB673" s="80">
        <v>0.3</v>
      </c>
    </row>
    <row r="674" spans="1:28" ht="13.5" customHeight="1">
      <c r="A674" s="27"/>
      <c r="B674" s="44"/>
      <c r="C674" s="28" t="s">
        <v>1766</v>
      </c>
      <c r="D674" s="30" t="s">
        <v>1767</v>
      </c>
      <c r="E674" s="37" t="s">
        <v>1768</v>
      </c>
      <c r="F674" s="71"/>
      <c r="G674" s="39">
        <f>SUM(G675:G689)</f>
        <v>16.099999999999998</v>
      </c>
      <c r="H674" s="37" t="s">
        <v>1768</v>
      </c>
      <c r="I674" s="71"/>
      <c r="J674" s="39">
        <f>SUM(J675:J689)</f>
        <v>16.100000000000001</v>
      </c>
      <c r="K674" s="37" t="s">
        <v>1768</v>
      </c>
      <c r="L674" s="71"/>
      <c r="M674" s="39">
        <f>SUM(M675:M689)</f>
        <v>13.9</v>
      </c>
      <c r="N674" s="37" t="s">
        <v>1768</v>
      </c>
      <c r="O674" s="71"/>
      <c r="P674" s="39">
        <f>SUM(P675:P689)</f>
        <v>14.299999999999999</v>
      </c>
      <c r="Q674" s="37" t="s">
        <v>1768</v>
      </c>
      <c r="R674" s="71"/>
      <c r="S674" s="39">
        <f>SUM(S675:S689)</f>
        <v>11.399999999999999</v>
      </c>
      <c r="T674" s="37" t="s">
        <v>1768</v>
      </c>
      <c r="U674" s="71"/>
      <c r="V674" s="39">
        <f>SUM(V675:V689)</f>
        <v>10.6</v>
      </c>
      <c r="W674" s="72"/>
      <c r="X674" s="71"/>
      <c r="Y674" s="39">
        <f>SUM(Y675:Y689)</f>
        <v>13</v>
      </c>
      <c r="Z674" s="42"/>
      <c r="AA674" s="43"/>
      <c r="AB674" s="39">
        <f>SUM(AB675:AB689)</f>
        <v>6.8999999999999995</v>
      </c>
    </row>
    <row r="675" spans="1:28" ht="13.5" customHeight="1">
      <c r="A675" s="27"/>
      <c r="B675" s="44"/>
      <c r="C675" s="44"/>
      <c r="D675" s="45"/>
      <c r="E675" s="46" t="s">
        <v>1770</v>
      </c>
      <c r="F675" s="47" t="s">
        <v>1769</v>
      </c>
      <c r="G675" s="48">
        <v>1</v>
      </c>
      <c r="H675" s="46" t="s">
        <v>1770</v>
      </c>
      <c r="I675" s="47" t="s">
        <v>1769</v>
      </c>
      <c r="J675" s="48">
        <v>0.6</v>
      </c>
      <c r="K675" s="46" t="s">
        <v>1770</v>
      </c>
      <c r="L675" s="47" t="s">
        <v>1769</v>
      </c>
      <c r="M675" s="48">
        <v>2</v>
      </c>
      <c r="N675" s="46" t="s">
        <v>1770</v>
      </c>
      <c r="O675" s="47" t="s">
        <v>1769</v>
      </c>
      <c r="P675" s="48">
        <v>1.8</v>
      </c>
      <c r="Q675" s="46" t="s">
        <v>1770</v>
      </c>
      <c r="R675" s="47" t="s">
        <v>1769</v>
      </c>
      <c r="S675" s="48">
        <v>1.7</v>
      </c>
      <c r="T675" s="46" t="s">
        <v>1770</v>
      </c>
      <c r="U675" s="47" t="s">
        <v>1769</v>
      </c>
      <c r="V675" s="48">
        <v>1.4</v>
      </c>
      <c r="W675" s="46" t="s">
        <v>1771</v>
      </c>
      <c r="X675" s="47" t="s">
        <v>2804</v>
      </c>
      <c r="Y675" s="48">
        <v>1.7</v>
      </c>
      <c r="Z675" s="49" t="s">
        <v>1585</v>
      </c>
      <c r="AA675" s="50" t="s">
        <v>1769</v>
      </c>
      <c r="AB675" s="51">
        <v>1</v>
      </c>
    </row>
    <row r="676" spans="1:28" ht="13.5" customHeight="1">
      <c r="A676" s="27"/>
      <c r="B676" s="44"/>
      <c r="C676" s="36"/>
      <c r="D676" s="6"/>
      <c r="E676" s="46"/>
      <c r="F676" s="47"/>
      <c r="G676" s="48"/>
      <c r="H676" s="46"/>
      <c r="I676" s="47"/>
      <c r="J676" s="48"/>
      <c r="K676" s="46"/>
      <c r="L676" s="47"/>
      <c r="M676" s="48"/>
      <c r="N676" s="46"/>
      <c r="O676" s="47"/>
      <c r="P676" s="48"/>
      <c r="Q676" s="46"/>
      <c r="R676" s="47"/>
      <c r="S676" s="48"/>
      <c r="T676" s="46"/>
      <c r="U676" s="47"/>
      <c r="V676" s="48"/>
      <c r="W676" s="46"/>
      <c r="X676" s="47"/>
      <c r="Y676" s="48"/>
      <c r="Z676" s="49"/>
      <c r="AA676" s="50"/>
      <c r="AB676" s="51"/>
    </row>
    <row r="677" spans="1:28" ht="13.5" customHeight="1">
      <c r="A677" s="27"/>
      <c r="B677" s="44"/>
      <c r="C677" s="36"/>
      <c r="D677" s="6"/>
      <c r="E677" s="46" t="s">
        <v>1773</v>
      </c>
      <c r="F677" s="47" t="s">
        <v>1772</v>
      </c>
      <c r="G677" s="48">
        <v>0.7</v>
      </c>
      <c r="H677" s="46" t="s">
        <v>1773</v>
      </c>
      <c r="I677" s="47" t="s">
        <v>1772</v>
      </c>
      <c r="J677" s="48">
        <v>0.1</v>
      </c>
      <c r="K677" s="46" t="s">
        <v>1773</v>
      </c>
      <c r="L677" s="47" t="s">
        <v>1772</v>
      </c>
      <c r="M677" s="48">
        <v>0.3</v>
      </c>
      <c r="N677" s="46" t="s">
        <v>1773</v>
      </c>
      <c r="O677" s="47" t="s">
        <v>1772</v>
      </c>
      <c r="P677" s="48">
        <v>0.3</v>
      </c>
      <c r="Q677" s="46" t="s">
        <v>1773</v>
      </c>
      <c r="R677" s="47" t="s">
        <v>1772</v>
      </c>
      <c r="S677" s="48">
        <v>0.2</v>
      </c>
      <c r="T677" s="46" t="s">
        <v>1773</v>
      </c>
      <c r="U677" s="47" t="s">
        <v>1772</v>
      </c>
      <c r="V677" s="48">
        <v>0.3</v>
      </c>
      <c r="W677" s="46" t="s">
        <v>1774</v>
      </c>
      <c r="X677" s="47" t="s">
        <v>2805</v>
      </c>
      <c r="Y677" s="48">
        <v>0.2</v>
      </c>
      <c r="Z677" s="49"/>
      <c r="AA677" s="50"/>
      <c r="AB677" s="51"/>
    </row>
    <row r="678" spans="1:28" ht="13.5" customHeight="1">
      <c r="A678" s="27"/>
      <c r="B678" s="44"/>
      <c r="C678" s="36"/>
      <c r="D678" s="6"/>
      <c r="E678" s="46"/>
      <c r="F678" s="47"/>
      <c r="G678" s="48"/>
      <c r="H678" s="46"/>
      <c r="I678" s="47"/>
      <c r="J678" s="48"/>
      <c r="K678" s="46"/>
      <c r="L678" s="47"/>
      <c r="M678" s="48"/>
      <c r="N678" s="46"/>
      <c r="O678" s="47"/>
      <c r="P678" s="48"/>
      <c r="Q678" s="46"/>
      <c r="R678" s="47"/>
      <c r="S678" s="48"/>
      <c r="T678" s="46"/>
      <c r="U678" s="47"/>
      <c r="V678" s="48"/>
      <c r="W678" s="46" t="s">
        <v>1775</v>
      </c>
      <c r="X678" s="47" t="s">
        <v>2806</v>
      </c>
      <c r="Y678" s="48">
        <v>0.1</v>
      </c>
      <c r="Z678" s="49" t="s">
        <v>1602</v>
      </c>
      <c r="AA678" s="50" t="s">
        <v>1776</v>
      </c>
      <c r="AB678" s="51">
        <v>0.3</v>
      </c>
    </row>
    <row r="679" spans="1:28" ht="13.5" customHeight="1">
      <c r="A679" s="27"/>
      <c r="B679" s="44"/>
      <c r="C679" s="36"/>
      <c r="D679" s="6"/>
      <c r="E679" s="46" t="s">
        <v>1778</v>
      </c>
      <c r="F679" s="47" t="s">
        <v>2994</v>
      </c>
      <c r="G679" s="48">
        <v>0.6</v>
      </c>
      <c r="H679" s="46" t="s">
        <v>1778</v>
      </c>
      <c r="I679" s="47" t="s">
        <v>2994</v>
      </c>
      <c r="J679" s="48">
        <v>0.4</v>
      </c>
      <c r="K679" s="46" t="s">
        <v>1778</v>
      </c>
      <c r="L679" s="47" t="s">
        <v>1777</v>
      </c>
      <c r="M679" s="48">
        <v>0.5</v>
      </c>
      <c r="N679" s="46" t="s">
        <v>1778</v>
      </c>
      <c r="O679" s="47" t="s">
        <v>1777</v>
      </c>
      <c r="P679" s="48">
        <v>0.4</v>
      </c>
      <c r="Q679" s="46" t="s">
        <v>1778</v>
      </c>
      <c r="R679" s="47" t="s">
        <v>1777</v>
      </c>
      <c r="S679" s="48">
        <v>0.4</v>
      </c>
      <c r="T679" s="46" t="s">
        <v>1778</v>
      </c>
      <c r="U679" s="47" t="s">
        <v>1777</v>
      </c>
      <c r="V679" s="48">
        <v>0.3</v>
      </c>
      <c r="W679" s="46" t="s">
        <v>1779</v>
      </c>
      <c r="X679" s="47" t="s">
        <v>2807</v>
      </c>
      <c r="Y679" s="48">
        <v>0.3</v>
      </c>
      <c r="Z679" s="49"/>
      <c r="AA679" s="50"/>
      <c r="AB679" s="51"/>
    </row>
    <row r="680" spans="1:28" ht="13.5" customHeight="1">
      <c r="A680" s="27"/>
      <c r="B680" s="44"/>
      <c r="C680" s="36"/>
      <c r="D680" s="6"/>
      <c r="E680" s="46" t="s">
        <v>1781</v>
      </c>
      <c r="F680" s="47" t="s">
        <v>1780</v>
      </c>
      <c r="G680" s="48">
        <v>0.8</v>
      </c>
      <c r="H680" s="46" t="s">
        <v>1781</v>
      </c>
      <c r="I680" s="47" t="s">
        <v>1780</v>
      </c>
      <c r="J680" s="48">
        <v>1</v>
      </c>
      <c r="K680" s="46" t="s">
        <v>1781</v>
      </c>
      <c r="L680" s="47" t="s">
        <v>1780</v>
      </c>
      <c r="M680" s="48">
        <v>0.5</v>
      </c>
      <c r="N680" s="46" t="s">
        <v>1781</v>
      </c>
      <c r="O680" s="47" t="s">
        <v>1780</v>
      </c>
      <c r="P680" s="48">
        <v>0.5</v>
      </c>
      <c r="Q680" s="46" t="s">
        <v>1781</v>
      </c>
      <c r="R680" s="47" t="s">
        <v>1780</v>
      </c>
      <c r="S680" s="48">
        <v>0.5</v>
      </c>
      <c r="T680" s="46" t="s">
        <v>1781</v>
      </c>
      <c r="U680" s="47" t="s">
        <v>1780</v>
      </c>
      <c r="V680" s="48">
        <v>0.5</v>
      </c>
      <c r="W680" s="46" t="s">
        <v>1782</v>
      </c>
      <c r="X680" s="47" t="s">
        <v>2808</v>
      </c>
      <c r="Y680" s="48">
        <v>0.7</v>
      </c>
      <c r="Z680" s="49" t="s">
        <v>1783</v>
      </c>
      <c r="AA680" s="50" t="s">
        <v>1780</v>
      </c>
      <c r="AB680" s="51">
        <v>0.8</v>
      </c>
    </row>
    <row r="681" spans="1:28" ht="13.5" customHeight="1">
      <c r="A681" s="27"/>
      <c r="B681" s="44"/>
      <c r="C681" s="36"/>
      <c r="D681" s="6"/>
      <c r="E681" s="46"/>
      <c r="F681" s="47"/>
      <c r="G681" s="48"/>
      <c r="H681" s="46"/>
      <c r="I681" s="47"/>
      <c r="J681" s="48"/>
      <c r="K681" s="46"/>
      <c r="L681" s="47"/>
      <c r="M681" s="48"/>
      <c r="N681" s="46"/>
      <c r="O681" s="47"/>
      <c r="P681" s="48"/>
      <c r="Q681" s="46"/>
      <c r="R681" s="47"/>
      <c r="S681" s="48"/>
      <c r="T681" s="46"/>
      <c r="U681" s="47"/>
      <c r="V681" s="48"/>
      <c r="W681" s="46"/>
      <c r="X681" s="47"/>
      <c r="Y681" s="48"/>
      <c r="Z681" s="49"/>
      <c r="AA681" s="50"/>
      <c r="AB681" s="51"/>
    </row>
    <row r="682" spans="1:28" ht="13.5" customHeight="1">
      <c r="A682" s="27"/>
      <c r="B682" s="44"/>
      <c r="C682" s="36"/>
      <c r="D682" s="6"/>
      <c r="E682" s="46"/>
      <c r="F682" s="47"/>
      <c r="G682" s="48"/>
      <c r="H682" s="46"/>
      <c r="I682" s="47"/>
      <c r="J682" s="48"/>
      <c r="K682" s="46"/>
      <c r="L682" s="47"/>
      <c r="M682" s="48"/>
      <c r="N682" s="46"/>
      <c r="O682" s="47"/>
      <c r="P682" s="48"/>
      <c r="Q682" s="46"/>
      <c r="R682" s="47"/>
      <c r="S682" s="48"/>
      <c r="T682" s="46"/>
      <c r="U682" s="47"/>
      <c r="V682" s="48"/>
      <c r="W682" s="46"/>
      <c r="X682" s="47"/>
      <c r="Y682" s="48"/>
      <c r="Z682" s="49" t="s">
        <v>1784</v>
      </c>
      <c r="AA682" s="50" t="s">
        <v>1785</v>
      </c>
      <c r="AB682" s="51">
        <v>0.3</v>
      </c>
    </row>
    <row r="683" spans="1:28" ht="13.5" customHeight="1">
      <c r="A683" s="27"/>
      <c r="B683" s="44"/>
      <c r="C683" s="36"/>
      <c r="D683" s="6"/>
      <c r="E683" s="46" t="s">
        <v>1787</v>
      </c>
      <c r="F683" s="47" t="s">
        <v>1786</v>
      </c>
      <c r="G683" s="48">
        <v>8</v>
      </c>
      <c r="H683" s="46" t="s">
        <v>1787</v>
      </c>
      <c r="I683" s="47" t="s">
        <v>1786</v>
      </c>
      <c r="J683" s="48">
        <v>8.8000000000000007</v>
      </c>
      <c r="K683" s="46" t="s">
        <v>1787</v>
      </c>
      <c r="L683" s="47" t="s">
        <v>1786</v>
      </c>
      <c r="M683" s="48">
        <v>4.5</v>
      </c>
      <c r="N683" s="46" t="s">
        <v>1787</v>
      </c>
      <c r="O683" s="47" t="s">
        <v>1786</v>
      </c>
      <c r="P683" s="48">
        <v>4.7</v>
      </c>
      <c r="Q683" s="46" t="s">
        <v>1787</v>
      </c>
      <c r="R683" s="47" t="s">
        <v>1786</v>
      </c>
      <c r="S683" s="48">
        <v>1.4</v>
      </c>
      <c r="T683" s="46" t="s">
        <v>1787</v>
      </c>
      <c r="U683" s="47" t="s">
        <v>1786</v>
      </c>
      <c r="V683" s="48">
        <v>0.9</v>
      </c>
      <c r="W683" s="46" t="s">
        <v>1788</v>
      </c>
      <c r="X683" s="47" t="s">
        <v>2809</v>
      </c>
      <c r="Y683" s="48">
        <v>3.1</v>
      </c>
      <c r="Z683" s="49"/>
      <c r="AA683" s="50"/>
      <c r="AB683" s="51"/>
    </row>
    <row r="684" spans="1:28" ht="13.5" customHeight="1">
      <c r="A684" s="27"/>
      <c r="B684" s="44"/>
      <c r="C684" s="36"/>
      <c r="D684" s="6"/>
      <c r="E684" s="46"/>
      <c r="F684" s="47"/>
      <c r="G684" s="48"/>
      <c r="H684" s="46"/>
      <c r="I684" s="47"/>
      <c r="J684" s="48"/>
      <c r="K684" s="46"/>
      <c r="L684" s="47"/>
      <c r="M684" s="48"/>
      <c r="N684" s="46"/>
      <c r="O684" s="47"/>
      <c r="P684" s="48"/>
      <c r="Q684" s="46"/>
      <c r="R684" s="47"/>
      <c r="S684" s="48"/>
      <c r="T684" s="46"/>
      <c r="U684" s="47"/>
      <c r="V684" s="48"/>
      <c r="W684" s="46" t="s">
        <v>1789</v>
      </c>
      <c r="X684" s="47" t="s">
        <v>2810</v>
      </c>
      <c r="Y684" s="48">
        <v>2.1</v>
      </c>
      <c r="Z684" s="49"/>
      <c r="AA684" s="50"/>
      <c r="AB684" s="51"/>
    </row>
    <row r="685" spans="1:28" ht="13.5" customHeight="1">
      <c r="A685" s="27"/>
      <c r="B685" s="44"/>
      <c r="C685" s="36"/>
      <c r="D685" s="6"/>
      <c r="E685" s="46" t="s">
        <v>1791</v>
      </c>
      <c r="F685" s="47" t="s">
        <v>1790</v>
      </c>
      <c r="G685" s="48">
        <v>2.4</v>
      </c>
      <c r="H685" s="46" t="s">
        <v>1791</v>
      </c>
      <c r="I685" s="47" t="s">
        <v>1790</v>
      </c>
      <c r="J685" s="48">
        <v>3</v>
      </c>
      <c r="K685" s="46" t="s">
        <v>1791</v>
      </c>
      <c r="L685" s="47" t="s">
        <v>1790</v>
      </c>
      <c r="M685" s="48">
        <v>3.2</v>
      </c>
      <c r="N685" s="46" t="s">
        <v>1791</v>
      </c>
      <c r="O685" s="47" t="s">
        <v>1790</v>
      </c>
      <c r="P685" s="48">
        <v>3.5</v>
      </c>
      <c r="Q685" s="46" t="s">
        <v>1791</v>
      </c>
      <c r="R685" s="205" t="s">
        <v>1792</v>
      </c>
      <c r="S685" s="206">
        <v>1.8</v>
      </c>
      <c r="T685" s="46" t="s">
        <v>1791</v>
      </c>
      <c r="U685" s="205" t="s">
        <v>1792</v>
      </c>
      <c r="V685" s="206">
        <v>1.9</v>
      </c>
      <c r="W685" s="46" t="s">
        <v>1793</v>
      </c>
      <c r="X685" s="205" t="s">
        <v>2811</v>
      </c>
      <c r="Y685" s="206">
        <v>2.2999999999999998</v>
      </c>
      <c r="Z685" s="49" t="s">
        <v>1588</v>
      </c>
      <c r="AA685" s="50" t="s">
        <v>1794</v>
      </c>
      <c r="AB685" s="51">
        <v>1.6</v>
      </c>
    </row>
    <row r="686" spans="1:28" ht="13.5" customHeight="1">
      <c r="A686" s="27"/>
      <c r="B686" s="44"/>
      <c r="C686" s="36"/>
      <c r="D686" s="6"/>
      <c r="E686" s="46"/>
      <c r="F686" s="252"/>
      <c r="G686" s="48"/>
      <c r="H686" s="46"/>
      <c r="I686" s="252"/>
      <c r="J686" s="48"/>
      <c r="K686" s="46"/>
      <c r="L686" s="252"/>
      <c r="M686" s="48"/>
      <c r="N686" s="46"/>
      <c r="O686" s="252"/>
      <c r="P686" s="48"/>
      <c r="Q686" s="46" t="s">
        <v>1795</v>
      </c>
      <c r="R686" s="47" t="s">
        <v>1790</v>
      </c>
      <c r="S686" s="48">
        <v>2.2000000000000002</v>
      </c>
      <c r="T686" s="46" t="s">
        <v>1795</v>
      </c>
      <c r="U686" s="47" t="s">
        <v>1790</v>
      </c>
      <c r="V686" s="48">
        <v>2.4</v>
      </c>
      <c r="W686" s="46" t="s">
        <v>1796</v>
      </c>
      <c r="X686" s="47" t="s">
        <v>2812</v>
      </c>
      <c r="Y686" s="48">
        <v>1.6</v>
      </c>
      <c r="Z686" s="49" t="s">
        <v>1607</v>
      </c>
      <c r="AA686" s="50" t="s">
        <v>1797</v>
      </c>
      <c r="AB686" s="51">
        <v>1.7</v>
      </c>
    </row>
    <row r="687" spans="1:28" ht="13.5" customHeight="1">
      <c r="A687" s="27"/>
      <c r="B687" s="44"/>
      <c r="C687" s="36"/>
      <c r="D687" s="6"/>
      <c r="E687" s="46" t="s">
        <v>1795</v>
      </c>
      <c r="F687" s="47" t="s">
        <v>2995</v>
      </c>
      <c r="G687" s="48">
        <v>1.7</v>
      </c>
      <c r="H687" s="46" t="s">
        <v>1795</v>
      </c>
      <c r="I687" s="47" t="s">
        <v>2995</v>
      </c>
      <c r="J687" s="48">
        <v>1.5</v>
      </c>
      <c r="K687" s="46" t="s">
        <v>1795</v>
      </c>
      <c r="L687" s="47" t="s">
        <v>2813</v>
      </c>
      <c r="M687" s="48">
        <v>1.6</v>
      </c>
      <c r="N687" s="46" t="s">
        <v>1795</v>
      </c>
      <c r="O687" s="47" t="s">
        <v>2813</v>
      </c>
      <c r="P687" s="48">
        <v>1.7</v>
      </c>
      <c r="Q687" s="46" t="s">
        <v>1798</v>
      </c>
      <c r="R687" s="47" t="s">
        <v>1799</v>
      </c>
      <c r="S687" s="48">
        <v>1.6</v>
      </c>
      <c r="T687" s="46" t="s">
        <v>1798</v>
      </c>
      <c r="U687" s="47" t="s">
        <v>1799</v>
      </c>
      <c r="V687" s="48">
        <v>1.5</v>
      </c>
      <c r="W687" s="46" t="s">
        <v>1800</v>
      </c>
      <c r="X687" s="47" t="s">
        <v>2814</v>
      </c>
      <c r="Y687" s="48">
        <v>0.6</v>
      </c>
      <c r="Z687" s="49" t="s">
        <v>1801</v>
      </c>
      <c r="AA687" s="50" t="s">
        <v>1799</v>
      </c>
      <c r="AB687" s="51">
        <v>0.6</v>
      </c>
    </row>
    <row r="688" spans="1:28" ht="13.5" customHeight="1">
      <c r="A688" s="27"/>
      <c r="B688" s="44"/>
      <c r="C688" s="36"/>
      <c r="D688" s="6"/>
      <c r="E688" s="46"/>
      <c r="F688" s="47"/>
      <c r="G688" s="48"/>
      <c r="H688" s="46"/>
      <c r="I688" s="47"/>
      <c r="J688" s="48"/>
      <c r="K688" s="46"/>
      <c r="L688" s="47"/>
      <c r="M688" s="48"/>
      <c r="N688" s="46"/>
      <c r="O688" s="47"/>
      <c r="P688" s="48"/>
      <c r="Q688" s="46" t="s">
        <v>1802</v>
      </c>
      <c r="R688" s="47" t="s">
        <v>1803</v>
      </c>
      <c r="S688" s="48">
        <v>0.5</v>
      </c>
      <c r="T688" s="46" t="s">
        <v>1802</v>
      </c>
      <c r="U688" s="47" t="s">
        <v>1803</v>
      </c>
      <c r="V688" s="48">
        <v>0.4</v>
      </c>
      <c r="W688" s="46" t="s">
        <v>2815</v>
      </c>
      <c r="X688" s="47" t="s">
        <v>2816</v>
      </c>
      <c r="Y688" s="48">
        <v>0.3</v>
      </c>
      <c r="Z688" s="49" t="s">
        <v>1804</v>
      </c>
      <c r="AA688" s="50" t="s">
        <v>1803</v>
      </c>
      <c r="AB688" s="51">
        <v>0.6</v>
      </c>
    </row>
    <row r="689" spans="1:28" ht="13.5" customHeight="1">
      <c r="A689" s="27"/>
      <c r="B689" s="44"/>
      <c r="C689" s="36"/>
      <c r="D689" s="6"/>
      <c r="E689" s="46" t="s">
        <v>1806</v>
      </c>
      <c r="F689" s="47" t="s">
        <v>1805</v>
      </c>
      <c r="G689" s="48">
        <v>0.9</v>
      </c>
      <c r="H689" s="46" t="s">
        <v>1806</v>
      </c>
      <c r="I689" s="47" t="s">
        <v>1805</v>
      </c>
      <c r="J689" s="48">
        <v>0.7</v>
      </c>
      <c r="K689" s="46" t="s">
        <v>1806</v>
      </c>
      <c r="L689" s="47" t="s">
        <v>1805</v>
      </c>
      <c r="M689" s="48">
        <v>1.3</v>
      </c>
      <c r="N689" s="46" t="s">
        <v>1806</v>
      </c>
      <c r="O689" s="47" t="s">
        <v>1805</v>
      </c>
      <c r="P689" s="48">
        <v>1.4</v>
      </c>
      <c r="Q689" s="46" t="s">
        <v>1806</v>
      </c>
      <c r="R689" s="47" t="s">
        <v>1805</v>
      </c>
      <c r="S689" s="77">
        <v>1.1000000000000001</v>
      </c>
      <c r="T689" s="46" t="s">
        <v>1806</v>
      </c>
      <c r="U689" s="47" t="s">
        <v>1805</v>
      </c>
      <c r="V689" s="77">
        <v>1</v>
      </c>
      <c r="W689" s="76"/>
      <c r="X689" s="75"/>
      <c r="Y689" s="77"/>
      <c r="Z689" s="78"/>
      <c r="AA689" s="79"/>
      <c r="AB689" s="80"/>
    </row>
    <row r="690" spans="1:28" ht="13.5" customHeight="1">
      <c r="A690" s="27"/>
      <c r="B690" s="28" t="s">
        <v>1807</v>
      </c>
      <c r="C690" s="29"/>
      <c r="D690" s="30" t="s">
        <v>1808</v>
      </c>
      <c r="E690" s="31" t="s">
        <v>1809</v>
      </c>
      <c r="F690" s="207"/>
      <c r="G690" s="33">
        <f>G691+G702+G709</f>
        <v>5.4</v>
      </c>
      <c r="H690" s="31" t="s">
        <v>1809</v>
      </c>
      <c r="I690" s="207"/>
      <c r="J690" s="33">
        <f>J691+J702+J709</f>
        <v>6.2999999999999989</v>
      </c>
      <c r="K690" s="31" t="s">
        <v>1809</v>
      </c>
      <c r="L690" s="207"/>
      <c r="M690" s="33">
        <f>M691+M702+M709</f>
        <v>7.1</v>
      </c>
      <c r="N690" s="31" t="s">
        <v>1809</v>
      </c>
      <c r="O690" s="207"/>
      <c r="P690" s="33">
        <f>P691+P702+P709</f>
        <v>7.9999999999999991</v>
      </c>
      <c r="Q690" s="31" t="s">
        <v>1809</v>
      </c>
      <c r="R690" s="207"/>
      <c r="S690" s="33">
        <f>S691+S702+S709</f>
        <v>9.8000000000000007</v>
      </c>
      <c r="T690" s="31" t="s">
        <v>1809</v>
      </c>
      <c r="U690" s="207"/>
      <c r="V690" s="33">
        <f>V691+V702+V709</f>
        <v>11.3</v>
      </c>
      <c r="W690" s="208"/>
      <c r="X690" s="207"/>
      <c r="Y690" s="33">
        <f>Y691+Y702+Y709</f>
        <v>10.899999999999999</v>
      </c>
      <c r="Z690" s="65"/>
      <c r="AA690" s="66"/>
      <c r="AB690" s="33">
        <f>AB691+AB702+AB709</f>
        <v>15.6</v>
      </c>
    </row>
    <row r="691" spans="1:28" ht="13.5" customHeight="1">
      <c r="A691" s="27"/>
      <c r="B691" s="197"/>
      <c r="C691" s="28" t="s">
        <v>1810</v>
      </c>
      <c r="D691" s="30" t="s">
        <v>1811</v>
      </c>
      <c r="E691" s="37" t="s">
        <v>1812</v>
      </c>
      <c r="F691" s="41"/>
      <c r="G691" s="39">
        <f>SUM(G692:G701)</f>
        <v>3.8</v>
      </c>
      <c r="H691" s="37" t="s">
        <v>1812</v>
      </c>
      <c r="I691" s="41"/>
      <c r="J691" s="39">
        <f>SUM(J692:J701)</f>
        <v>4.5999999999999996</v>
      </c>
      <c r="K691" s="37" t="s">
        <v>1812</v>
      </c>
      <c r="L691" s="41"/>
      <c r="M691" s="39">
        <f>SUM(M692:M701)</f>
        <v>5.2</v>
      </c>
      <c r="N691" s="37" t="s">
        <v>1812</v>
      </c>
      <c r="O691" s="41"/>
      <c r="P691" s="39">
        <f>SUM(P692:P701)</f>
        <v>5.6</v>
      </c>
      <c r="Q691" s="37" t="s">
        <v>1812</v>
      </c>
      <c r="R691" s="41"/>
      <c r="S691" s="39">
        <f>SUM(S692:S701)</f>
        <v>7</v>
      </c>
      <c r="T691" s="37" t="s">
        <v>1812</v>
      </c>
      <c r="U691" s="41"/>
      <c r="V691" s="39">
        <f>SUM(V692:V701)</f>
        <v>8.7000000000000011</v>
      </c>
      <c r="W691" s="40"/>
      <c r="X691" s="41"/>
      <c r="Y691" s="39">
        <f>SUM(Y692:Y701)</f>
        <v>7.7</v>
      </c>
      <c r="Z691" s="42"/>
      <c r="AA691" s="43"/>
      <c r="AB691" s="39">
        <f>SUM(AB692:AB701)</f>
        <v>10.399999999999999</v>
      </c>
    </row>
    <row r="692" spans="1:28" ht="13.5" customHeight="1">
      <c r="A692" s="27"/>
      <c r="B692" s="105"/>
      <c r="C692" s="44"/>
      <c r="D692" s="45"/>
      <c r="E692" s="46" t="s">
        <v>1813</v>
      </c>
      <c r="F692" s="47" t="s">
        <v>2991</v>
      </c>
      <c r="G692" s="48">
        <v>0.6</v>
      </c>
      <c r="H692" s="46" t="s">
        <v>1813</v>
      </c>
      <c r="I692" s="47" t="s">
        <v>2991</v>
      </c>
      <c r="J692" s="48">
        <v>0.7</v>
      </c>
      <c r="K692" s="46" t="s">
        <v>1813</v>
      </c>
      <c r="L692" s="47" t="s">
        <v>2817</v>
      </c>
      <c r="M692" s="48">
        <v>0.6</v>
      </c>
      <c r="N692" s="46" t="s">
        <v>1813</v>
      </c>
      <c r="O692" s="47" t="s">
        <v>2817</v>
      </c>
      <c r="P692" s="48">
        <v>0.6</v>
      </c>
      <c r="Q692" s="46" t="s">
        <v>1813</v>
      </c>
      <c r="R692" s="47" t="s">
        <v>1814</v>
      </c>
      <c r="S692" s="48">
        <v>0.9</v>
      </c>
      <c r="T692" s="46" t="s">
        <v>1813</v>
      </c>
      <c r="U692" s="47" t="s">
        <v>1814</v>
      </c>
      <c r="V692" s="48">
        <v>1.1000000000000001</v>
      </c>
      <c r="W692" s="46" t="s">
        <v>1815</v>
      </c>
      <c r="X692" s="47" t="s">
        <v>2818</v>
      </c>
      <c r="Y692" s="48">
        <v>0.8</v>
      </c>
      <c r="Z692" s="49" t="s">
        <v>1816</v>
      </c>
      <c r="AA692" s="50" t="s">
        <v>1817</v>
      </c>
      <c r="AB692" s="51">
        <v>1.2</v>
      </c>
    </row>
    <row r="693" spans="1:28" ht="13.5" customHeight="1">
      <c r="A693" s="27"/>
      <c r="B693" s="44"/>
      <c r="C693" s="36"/>
      <c r="D693" s="6"/>
      <c r="E693" s="46"/>
      <c r="F693" s="47"/>
      <c r="G693" s="48"/>
      <c r="H693" s="46"/>
      <c r="I693" s="47"/>
      <c r="J693" s="48"/>
      <c r="K693" s="46" t="s">
        <v>1818</v>
      </c>
      <c r="L693" s="47" t="s">
        <v>2819</v>
      </c>
      <c r="M693" s="48">
        <v>0.2</v>
      </c>
      <c r="N693" s="46" t="s">
        <v>1818</v>
      </c>
      <c r="O693" s="47" t="s">
        <v>2819</v>
      </c>
      <c r="P693" s="48">
        <v>0.2</v>
      </c>
      <c r="Q693" s="46" t="s">
        <v>1818</v>
      </c>
      <c r="R693" s="47" t="s">
        <v>1819</v>
      </c>
      <c r="S693" s="48">
        <v>0.2</v>
      </c>
      <c r="T693" s="46" t="s">
        <v>1818</v>
      </c>
      <c r="U693" s="47" t="s">
        <v>1819</v>
      </c>
      <c r="V693" s="48">
        <v>0.2</v>
      </c>
      <c r="W693" s="46" t="s">
        <v>1820</v>
      </c>
      <c r="X693" s="47" t="s">
        <v>2820</v>
      </c>
      <c r="Y693" s="48">
        <v>0.2</v>
      </c>
      <c r="Z693" s="49" t="s">
        <v>1821</v>
      </c>
      <c r="AA693" s="50" t="s">
        <v>1822</v>
      </c>
      <c r="AB693" s="51">
        <v>0.7</v>
      </c>
    </row>
    <row r="694" spans="1:28" ht="13.5" customHeight="1">
      <c r="A694" s="27"/>
      <c r="B694" s="44"/>
      <c r="C694" s="36"/>
      <c r="D694" s="6"/>
      <c r="E694" s="46"/>
      <c r="F694" s="47"/>
      <c r="G694" s="48"/>
      <c r="H694" s="46"/>
      <c r="I694" s="47"/>
      <c r="J694" s="48"/>
      <c r="K694" s="46"/>
      <c r="L694" s="47"/>
      <c r="M694" s="48"/>
      <c r="N694" s="46"/>
      <c r="O694" s="47"/>
      <c r="P694" s="48"/>
      <c r="Q694" s="46"/>
      <c r="R694" s="47"/>
      <c r="S694" s="48"/>
      <c r="T694" s="46"/>
      <c r="U694" s="47"/>
      <c r="V694" s="48"/>
      <c r="W694" s="46"/>
      <c r="X694" s="47"/>
      <c r="Y694" s="48"/>
      <c r="Z694" s="49"/>
      <c r="AA694" s="50"/>
      <c r="AB694" s="51"/>
    </row>
    <row r="695" spans="1:28" ht="13.5" customHeight="1">
      <c r="A695" s="27"/>
      <c r="B695" s="44"/>
      <c r="C695" s="36"/>
      <c r="D695" s="6"/>
      <c r="E695" s="46" t="s">
        <v>1823</v>
      </c>
      <c r="F695" s="47" t="s">
        <v>2992</v>
      </c>
      <c r="G695" s="48">
        <v>0.6</v>
      </c>
      <c r="H695" s="46" t="s">
        <v>1823</v>
      </c>
      <c r="I695" s="47" t="s">
        <v>2992</v>
      </c>
      <c r="J695" s="48">
        <v>0.7</v>
      </c>
      <c r="K695" s="46" t="s">
        <v>1823</v>
      </c>
      <c r="L695" s="47" t="s">
        <v>2821</v>
      </c>
      <c r="M695" s="48">
        <v>0.6</v>
      </c>
      <c r="N695" s="46" t="s">
        <v>1823</v>
      </c>
      <c r="O695" s="47" t="s">
        <v>2821</v>
      </c>
      <c r="P695" s="48">
        <v>0.6</v>
      </c>
      <c r="Q695" s="46" t="s">
        <v>1823</v>
      </c>
      <c r="R695" s="47" t="s">
        <v>1824</v>
      </c>
      <c r="S695" s="48">
        <v>0.8</v>
      </c>
      <c r="T695" s="46" t="s">
        <v>1823</v>
      </c>
      <c r="U695" s="47" t="s">
        <v>1824</v>
      </c>
      <c r="V695" s="48">
        <v>1</v>
      </c>
      <c r="W695" s="46" t="s">
        <v>1825</v>
      </c>
      <c r="X695" s="47" t="s">
        <v>2822</v>
      </c>
      <c r="Y695" s="48">
        <v>0.7</v>
      </c>
      <c r="Z695" s="49" t="s">
        <v>1826</v>
      </c>
      <c r="AA695" s="50" t="s">
        <v>1827</v>
      </c>
      <c r="AB695" s="51">
        <v>1.2</v>
      </c>
    </row>
    <row r="696" spans="1:28" ht="13.5" customHeight="1">
      <c r="A696" s="27"/>
      <c r="B696" s="44"/>
      <c r="C696" s="36"/>
      <c r="D696" s="6"/>
      <c r="E696" s="46" t="s">
        <v>1828</v>
      </c>
      <c r="F696" s="47" t="s">
        <v>2993</v>
      </c>
      <c r="G696" s="48">
        <v>0.6</v>
      </c>
      <c r="H696" s="46" t="s">
        <v>1828</v>
      </c>
      <c r="I696" s="47" t="s">
        <v>2993</v>
      </c>
      <c r="J696" s="48">
        <v>0.7</v>
      </c>
      <c r="K696" s="46" t="s">
        <v>1828</v>
      </c>
      <c r="L696" s="47" t="s">
        <v>2823</v>
      </c>
      <c r="M696" s="48">
        <v>0.6</v>
      </c>
      <c r="N696" s="46" t="s">
        <v>1828</v>
      </c>
      <c r="O696" s="47" t="s">
        <v>2823</v>
      </c>
      <c r="P696" s="48">
        <v>0.6</v>
      </c>
      <c r="Q696" s="46" t="s">
        <v>1828</v>
      </c>
      <c r="R696" s="47" t="s">
        <v>1829</v>
      </c>
      <c r="S696" s="48">
        <v>0.8</v>
      </c>
      <c r="T696" s="46" t="s">
        <v>1828</v>
      </c>
      <c r="U696" s="47" t="s">
        <v>1829</v>
      </c>
      <c r="V696" s="48">
        <v>1</v>
      </c>
      <c r="W696" s="46" t="s">
        <v>1830</v>
      </c>
      <c r="X696" s="47" t="s">
        <v>2824</v>
      </c>
      <c r="Y696" s="48">
        <v>0.7</v>
      </c>
      <c r="Z696" s="49" t="s">
        <v>1831</v>
      </c>
      <c r="AA696" s="50" t="s">
        <v>1832</v>
      </c>
      <c r="AB696" s="51">
        <v>1.2</v>
      </c>
    </row>
    <row r="697" spans="1:28" ht="13.5" customHeight="1">
      <c r="A697" s="27"/>
      <c r="B697" s="44"/>
      <c r="C697" s="36"/>
      <c r="D697" s="6"/>
      <c r="E697" s="46" t="s">
        <v>1818</v>
      </c>
      <c r="F697" s="47" t="s">
        <v>1833</v>
      </c>
      <c r="G697" s="48">
        <v>0.2</v>
      </c>
      <c r="H697" s="46" t="s">
        <v>1818</v>
      </c>
      <c r="I697" s="47" t="s">
        <v>1833</v>
      </c>
      <c r="J697" s="48">
        <v>0.2</v>
      </c>
      <c r="K697" s="46" t="s">
        <v>1834</v>
      </c>
      <c r="L697" s="47" t="s">
        <v>1833</v>
      </c>
      <c r="M697" s="48">
        <v>0.3</v>
      </c>
      <c r="N697" s="46" t="s">
        <v>1834</v>
      </c>
      <c r="O697" s="47" t="s">
        <v>1833</v>
      </c>
      <c r="P697" s="48">
        <v>0.5</v>
      </c>
      <c r="Q697" s="46" t="s">
        <v>1834</v>
      </c>
      <c r="R697" s="47" t="s">
        <v>1833</v>
      </c>
      <c r="S697" s="48">
        <v>0.6</v>
      </c>
      <c r="T697" s="46" t="s">
        <v>1834</v>
      </c>
      <c r="U697" s="47" t="s">
        <v>1833</v>
      </c>
      <c r="V697" s="48">
        <v>0.8</v>
      </c>
      <c r="W697" s="46" t="s">
        <v>2825</v>
      </c>
      <c r="X697" s="47" t="s">
        <v>2826</v>
      </c>
      <c r="Y697" s="48">
        <v>1.1000000000000001</v>
      </c>
      <c r="Z697" s="49" t="s">
        <v>1835</v>
      </c>
      <c r="AA697" s="50" t="s">
        <v>1836</v>
      </c>
      <c r="AB697" s="51">
        <v>1.8</v>
      </c>
    </row>
    <row r="698" spans="1:28" ht="13.5" customHeight="1">
      <c r="A698" s="27"/>
      <c r="B698" s="44"/>
      <c r="C698" s="36"/>
      <c r="D698" s="6"/>
      <c r="E698" s="46"/>
      <c r="F698" s="47"/>
      <c r="G698" s="48"/>
      <c r="H698" s="46"/>
      <c r="I698" s="47"/>
      <c r="J698" s="48"/>
      <c r="K698" s="46"/>
      <c r="L698" s="47"/>
      <c r="M698" s="48"/>
      <c r="N698" s="46"/>
      <c r="O698" s="47"/>
      <c r="P698" s="48"/>
      <c r="Q698" s="46" t="s">
        <v>1837</v>
      </c>
      <c r="R698" s="47" t="s">
        <v>1838</v>
      </c>
      <c r="S698" s="48">
        <v>0.1</v>
      </c>
      <c r="T698" s="46" t="s">
        <v>1837</v>
      </c>
      <c r="U698" s="47" t="s">
        <v>1838</v>
      </c>
      <c r="V698" s="48">
        <v>0.2</v>
      </c>
      <c r="W698" s="46" t="s">
        <v>1839</v>
      </c>
      <c r="X698" s="47" t="s">
        <v>2827</v>
      </c>
      <c r="Y698" s="48">
        <v>0.2</v>
      </c>
      <c r="Z698" s="49" t="s">
        <v>1840</v>
      </c>
      <c r="AA698" s="50" t="s">
        <v>1838</v>
      </c>
      <c r="AB698" s="51">
        <v>0.3</v>
      </c>
    </row>
    <row r="699" spans="1:28" ht="13.5" customHeight="1">
      <c r="A699" s="27"/>
      <c r="B699" s="44"/>
      <c r="C699" s="36"/>
      <c r="D699" s="6"/>
      <c r="E699" s="46" t="s">
        <v>1834</v>
      </c>
      <c r="F699" s="47" t="s">
        <v>1841</v>
      </c>
      <c r="G699" s="48">
        <v>1.5</v>
      </c>
      <c r="H699" s="46" t="s">
        <v>1834</v>
      </c>
      <c r="I699" s="47" t="s">
        <v>1841</v>
      </c>
      <c r="J699" s="48">
        <v>1.8</v>
      </c>
      <c r="K699" s="46" t="s">
        <v>1842</v>
      </c>
      <c r="L699" s="47" t="s">
        <v>1841</v>
      </c>
      <c r="M699" s="48">
        <v>2.1</v>
      </c>
      <c r="N699" s="46" t="s">
        <v>1842</v>
      </c>
      <c r="O699" s="47" t="s">
        <v>1841</v>
      </c>
      <c r="P699" s="48">
        <v>2</v>
      </c>
      <c r="Q699" s="46" t="s">
        <v>1842</v>
      </c>
      <c r="R699" s="47" t="s">
        <v>1841</v>
      </c>
      <c r="S699" s="48">
        <v>2.2000000000000002</v>
      </c>
      <c r="T699" s="46" t="s">
        <v>1842</v>
      </c>
      <c r="U699" s="47" t="s">
        <v>1841</v>
      </c>
      <c r="V699" s="48">
        <v>3.1</v>
      </c>
      <c r="W699" s="46" t="s">
        <v>1843</v>
      </c>
      <c r="X699" s="47" t="s">
        <v>2828</v>
      </c>
      <c r="Y699" s="48">
        <v>4</v>
      </c>
      <c r="Z699" s="49" t="s">
        <v>1844</v>
      </c>
      <c r="AA699" s="50" t="s">
        <v>1845</v>
      </c>
      <c r="AB699" s="51">
        <v>3</v>
      </c>
    </row>
    <row r="700" spans="1:28" ht="13.5" customHeight="1">
      <c r="A700" s="27"/>
      <c r="B700" s="44"/>
      <c r="C700" s="36"/>
      <c r="D700" s="6"/>
      <c r="E700" s="46"/>
      <c r="F700" s="47"/>
      <c r="G700" s="48"/>
      <c r="H700" s="46"/>
      <c r="I700" s="47"/>
      <c r="J700" s="48"/>
      <c r="K700" s="46"/>
      <c r="L700" s="47"/>
      <c r="M700" s="48"/>
      <c r="N700" s="46"/>
      <c r="O700" s="47"/>
      <c r="P700" s="48"/>
      <c r="Q700" s="46"/>
      <c r="R700" s="47"/>
      <c r="S700" s="48"/>
      <c r="T700" s="46"/>
      <c r="U700" s="47"/>
      <c r="V700" s="48"/>
      <c r="W700" s="46"/>
      <c r="X700" s="47"/>
      <c r="Y700" s="48"/>
      <c r="Z700" s="49" t="s">
        <v>1846</v>
      </c>
      <c r="AA700" s="50" t="s">
        <v>1847</v>
      </c>
      <c r="AB700" s="51">
        <v>1</v>
      </c>
    </row>
    <row r="701" spans="1:28" ht="13.5" customHeight="1">
      <c r="A701" s="27"/>
      <c r="B701" s="44"/>
      <c r="C701" s="82"/>
      <c r="D701" s="83"/>
      <c r="E701" s="46" t="s">
        <v>1849</v>
      </c>
      <c r="F701" s="47" t="s">
        <v>1848</v>
      </c>
      <c r="G701" s="48">
        <v>0.3</v>
      </c>
      <c r="H701" s="46" t="s">
        <v>1849</v>
      </c>
      <c r="I701" s="47" t="s">
        <v>1848</v>
      </c>
      <c r="J701" s="48">
        <v>0.5</v>
      </c>
      <c r="K701" s="46" t="s">
        <v>1849</v>
      </c>
      <c r="L701" s="47" t="s">
        <v>1848</v>
      </c>
      <c r="M701" s="48">
        <v>0.8</v>
      </c>
      <c r="N701" s="46" t="s">
        <v>1849</v>
      </c>
      <c r="O701" s="47" t="s">
        <v>1848</v>
      </c>
      <c r="P701" s="48">
        <v>1.1000000000000001</v>
      </c>
      <c r="Q701" s="46" t="s">
        <v>1849</v>
      </c>
      <c r="R701" s="47" t="s">
        <v>1848</v>
      </c>
      <c r="S701" s="77">
        <v>1.4</v>
      </c>
      <c r="T701" s="46" t="s">
        <v>1849</v>
      </c>
      <c r="U701" s="47" t="s">
        <v>1848</v>
      </c>
      <c r="V701" s="77">
        <v>1.3</v>
      </c>
      <c r="W701" s="76"/>
      <c r="X701" s="75"/>
      <c r="Y701" s="77"/>
      <c r="Z701" s="78"/>
      <c r="AA701" s="79"/>
      <c r="AB701" s="80"/>
    </row>
    <row r="702" spans="1:28" ht="13.5" customHeight="1">
      <c r="A702" s="27"/>
      <c r="B702" s="44"/>
      <c r="C702" s="28" t="s">
        <v>1850</v>
      </c>
      <c r="D702" s="30" t="s">
        <v>1851</v>
      </c>
      <c r="E702" s="37" t="s">
        <v>1852</v>
      </c>
      <c r="F702" s="71"/>
      <c r="G702" s="39">
        <f>SUM(G703:G708)</f>
        <v>0.4</v>
      </c>
      <c r="H702" s="37" t="s">
        <v>1852</v>
      </c>
      <c r="I702" s="71"/>
      <c r="J702" s="39">
        <f>SUM(J703:J708)</f>
        <v>0.3</v>
      </c>
      <c r="K702" s="37" t="s">
        <v>1852</v>
      </c>
      <c r="L702" s="71"/>
      <c r="M702" s="39">
        <f>SUM(M703:M708)</f>
        <v>0.6</v>
      </c>
      <c r="N702" s="37" t="s">
        <v>1852</v>
      </c>
      <c r="O702" s="71"/>
      <c r="P702" s="39">
        <f>SUM(P703:P708)</f>
        <v>0.6</v>
      </c>
      <c r="Q702" s="37" t="s">
        <v>1852</v>
      </c>
      <c r="R702" s="71"/>
      <c r="S702" s="39">
        <f>SUM(S703:S708)</f>
        <v>0.9</v>
      </c>
      <c r="T702" s="37" t="s">
        <v>1852</v>
      </c>
      <c r="U702" s="71"/>
      <c r="V702" s="39">
        <f>SUM(V703:V708)</f>
        <v>1.1000000000000001</v>
      </c>
      <c r="W702" s="72"/>
      <c r="X702" s="71"/>
      <c r="Y702" s="39">
        <f>SUM(Y703:Y708)</f>
        <v>1.4000000000000001</v>
      </c>
      <c r="Z702" s="42"/>
      <c r="AA702" s="43"/>
      <c r="AB702" s="39">
        <f>SUM(AB703:AB708)</f>
        <v>2.7000000000000006</v>
      </c>
    </row>
    <row r="703" spans="1:28" ht="13.5" customHeight="1">
      <c r="A703" s="27"/>
      <c r="B703" s="44"/>
      <c r="C703" s="44"/>
      <c r="D703" s="45"/>
      <c r="E703" s="46" t="s">
        <v>1854</v>
      </c>
      <c r="F703" s="113" t="s">
        <v>1853</v>
      </c>
      <c r="G703" s="48">
        <v>0.4</v>
      </c>
      <c r="H703" s="46" t="s">
        <v>1854</v>
      </c>
      <c r="I703" s="113" t="s">
        <v>1853</v>
      </c>
      <c r="J703" s="48">
        <v>0.3</v>
      </c>
      <c r="K703" s="46" t="s">
        <v>1854</v>
      </c>
      <c r="L703" s="113" t="s">
        <v>1853</v>
      </c>
      <c r="M703" s="48">
        <v>0.6</v>
      </c>
      <c r="N703" s="46" t="s">
        <v>1854</v>
      </c>
      <c r="O703" s="113" t="s">
        <v>1853</v>
      </c>
      <c r="P703" s="48">
        <v>0.6</v>
      </c>
      <c r="Q703" s="55" t="s">
        <v>1854</v>
      </c>
      <c r="R703" s="113" t="s">
        <v>1853</v>
      </c>
      <c r="S703" s="48">
        <v>0.8</v>
      </c>
      <c r="T703" s="55" t="s">
        <v>1854</v>
      </c>
      <c r="U703" s="113" t="s">
        <v>1853</v>
      </c>
      <c r="V703" s="48">
        <v>1</v>
      </c>
      <c r="W703" s="55" t="s">
        <v>1855</v>
      </c>
      <c r="X703" s="113" t="s">
        <v>2829</v>
      </c>
      <c r="Y703" s="48">
        <v>1.3</v>
      </c>
      <c r="Z703" s="49" t="s">
        <v>1548</v>
      </c>
      <c r="AA703" s="50" t="s">
        <v>1856</v>
      </c>
      <c r="AB703" s="51">
        <v>2.2000000000000002</v>
      </c>
    </row>
    <row r="704" spans="1:28" ht="13.5" customHeight="1">
      <c r="A704" s="27"/>
      <c r="B704" s="44"/>
      <c r="C704" s="36"/>
      <c r="D704" s="6"/>
      <c r="E704" s="46"/>
      <c r="F704" s="47"/>
      <c r="G704" s="48"/>
      <c r="H704" s="46"/>
      <c r="I704" s="47"/>
      <c r="J704" s="48"/>
      <c r="K704" s="46"/>
      <c r="L704" s="47"/>
      <c r="M704" s="48"/>
      <c r="N704" s="46"/>
      <c r="O704" s="47"/>
      <c r="P704" s="48"/>
      <c r="Q704" s="55" t="s">
        <v>1857</v>
      </c>
      <c r="R704" s="47" t="s">
        <v>1858</v>
      </c>
      <c r="S704" s="48">
        <v>0.1</v>
      </c>
      <c r="T704" s="55" t="s">
        <v>1857</v>
      </c>
      <c r="U704" s="47" t="s">
        <v>1858</v>
      </c>
      <c r="V704" s="48">
        <v>0.1</v>
      </c>
      <c r="W704" s="55" t="s">
        <v>1859</v>
      </c>
      <c r="X704" s="47" t="s">
        <v>2830</v>
      </c>
      <c r="Y704" s="48">
        <v>0.1</v>
      </c>
      <c r="Z704" s="49" t="s">
        <v>1860</v>
      </c>
      <c r="AA704" s="50" t="s">
        <v>1861</v>
      </c>
      <c r="AB704" s="51">
        <v>0.1</v>
      </c>
    </row>
    <row r="705" spans="1:28" ht="13.5" customHeight="1">
      <c r="A705" s="27"/>
      <c r="B705" s="44"/>
      <c r="C705" s="36"/>
      <c r="D705" s="6"/>
      <c r="E705" s="46"/>
      <c r="F705" s="47"/>
      <c r="G705" s="48"/>
      <c r="H705" s="46"/>
      <c r="I705" s="47"/>
      <c r="J705" s="48"/>
      <c r="K705" s="46"/>
      <c r="L705" s="47"/>
      <c r="M705" s="48"/>
      <c r="N705" s="46"/>
      <c r="O705" s="47"/>
      <c r="P705" s="48"/>
      <c r="Q705" s="55"/>
      <c r="R705" s="47"/>
      <c r="S705" s="48"/>
      <c r="T705" s="55"/>
      <c r="U705" s="47"/>
      <c r="V705" s="48"/>
      <c r="W705" s="55"/>
      <c r="X705" s="47"/>
      <c r="Y705" s="48"/>
      <c r="Z705" s="49" t="s">
        <v>1862</v>
      </c>
      <c r="AA705" s="50" t="s">
        <v>1863</v>
      </c>
      <c r="AB705" s="51">
        <v>0.1</v>
      </c>
    </row>
    <row r="706" spans="1:28" ht="13.5" customHeight="1">
      <c r="A706" s="27"/>
      <c r="B706" s="44"/>
      <c r="C706" s="36"/>
      <c r="D706" s="6"/>
      <c r="E706" s="46"/>
      <c r="F706" s="47"/>
      <c r="G706" s="48"/>
      <c r="H706" s="46"/>
      <c r="I706" s="47"/>
      <c r="J706" s="48"/>
      <c r="K706" s="46"/>
      <c r="L706" s="47"/>
      <c r="M706" s="48"/>
      <c r="N706" s="46"/>
      <c r="O706" s="47"/>
      <c r="P706" s="48"/>
      <c r="Q706" s="55"/>
      <c r="R706" s="47"/>
      <c r="S706" s="48"/>
      <c r="T706" s="55"/>
      <c r="U706" s="47"/>
      <c r="V706" s="48"/>
      <c r="W706" s="55"/>
      <c r="X706" s="47"/>
      <c r="Y706" s="48"/>
      <c r="Z706" s="49" t="s">
        <v>1864</v>
      </c>
      <c r="AA706" s="50" t="s">
        <v>1865</v>
      </c>
      <c r="AB706" s="51">
        <v>0.1</v>
      </c>
    </row>
    <row r="707" spans="1:28" ht="13.5" customHeight="1">
      <c r="A707" s="27"/>
      <c r="B707" s="44"/>
      <c r="C707" s="36"/>
      <c r="D707" s="6"/>
      <c r="E707" s="46"/>
      <c r="F707" s="47"/>
      <c r="G707" s="48"/>
      <c r="H707" s="46"/>
      <c r="I707" s="47"/>
      <c r="J707" s="48"/>
      <c r="K707" s="46"/>
      <c r="L707" s="47"/>
      <c r="M707" s="48"/>
      <c r="N707" s="46"/>
      <c r="O707" s="47"/>
      <c r="P707" s="48"/>
      <c r="Q707" s="55"/>
      <c r="R707" s="47"/>
      <c r="S707" s="48"/>
      <c r="T707" s="55"/>
      <c r="U707" s="47"/>
      <c r="V707" s="48"/>
      <c r="W707" s="55"/>
      <c r="X707" s="47"/>
      <c r="Y707" s="48"/>
      <c r="Z707" s="49" t="s">
        <v>1866</v>
      </c>
      <c r="AA707" s="50" t="s">
        <v>1867</v>
      </c>
      <c r="AB707" s="51">
        <v>0.1</v>
      </c>
    </row>
    <row r="708" spans="1:28" ht="13.5" customHeight="1">
      <c r="A708" s="27"/>
      <c r="B708" s="44"/>
      <c r="C708" s="36"/>
      <c r="D708" s="6"/>
      <c r="E708" s="46"/>
      <c r="F708" s="75"/>
      <c r="G708" s="48"/>
      <c r="H708" s="46"/>
      <c r="I708" s="75"/>
      <c r="J708" s="48"/>
      <c r="K708" s="46"/>
      <c r="L708" s="75"/>
      <c r="M708" s="48"/>
      <c r="N708" s="46"/>
      <c r="O708" s="75"/>
      <c r="P708" s="48"/>
      <c r="Q708" s="116"/>
      <c r="R708" s="75"/>
      <c r="S708" s="77"/>
      <c r="T708" s="116"/>
      <c r="U708" s="75"/>
      <c r="V708" s="77"/>
      <c r="W708" s="116"/>
      <c r="X708" s="75"/>
      <c r="Y708" s="77"/>
      <c r="Z708" s="78" t="s">
        <v>1868</v>
      </c>
      <c r="AA708" s="79" t="s">
        <v>1869</v>
      </c>
      <c r="AB708" s="80">
        <v>0.1</v>
      </c>
    </row>
    <row r="709" spans="1:28" ht="13.5" customHeight="1">
      <c r="A709" s="27"/>
      <c r="B709" s="44"/>
      <c r="C709" s="28" t="s">
        <v>1870</v>
      </c>
      <c r="D709" s="30" t="s">
        <v>1871</v>
      </c>
      <c r="E709" s="37" t="s">
        <v>1872</v>
      </c>
      <c r="F709" s="71"/>
      <c r="G709" s="39">
        <f>SUM(G710:G724)</f>
        <v>1.2000000000000002</v>
      </c>
      <c r="H709" s="37" t="s">
        <v>1872</v>
      </c>
      <c r="I709" s="71"/>
      <c r="J709" s="39">
        <f>SUM(J710:J724)</f>
        <v>1.4</v>
      </c>
      <c r="K709" s="37" t="s">
        <v>1872</v>
      </c>
      <c r="L709" s="71"/>
      <c r="M709" s="39">
        <f>SUM(M710:M724)</f>
        <v>1.2999999999999998</v>
      </c>
      <c r="N709" s="37" t="s">
        <v>1872</v>
      </c>
      <c r="O709" s="71"/>
      <c r="P709" s="39">
        <f>SUM(P710:P724)</f>
        <v>1.8</v>
      </c>
      <c r="Q709" s="37" t="s">
        <v>1872</v>
      </c>
      <c r="R709" s="71"/>
      <c r="S709" s="39">
        <f>SUM(S710:S724)</f>
        <v>1.9</v>
      </c>
      <c r="T709" s="37" t="s">
        <v>1872</v>
      </c>
      <c r="U709" s="71"/>
      <c r="V709" s="39">
        <f>SUM(V710:V724)</f>
        <v>1.4999999999999998</v>
      </c>
      <c r="W709" s="168"/>
      <c r="X709" s="71"/>
      <c r="Y709" s="39">
        <f>SUM(Y710:Y724)</f>
        <v>1.7999999999999998</v>
      </c>
      <c r="Z709" s="42"/>
      <c r="AA709" s="43"/>
      <c r="AB709" s="39">
        <f>SUM(AB710:AB722)</f>
        <v>2.5</v>
      </c>
    </row>
    <row r="710" spans="1:28" ht="13.5" customHeight="1">
      <c r="A710" s="27"/>
      <c r="B710" s="44"/>
      <c r="C710" s="44"/>
      <c r="D710" s="45"/>
      <c r="E710" s="46" t="s">
        <v>1894</v>
      </c>
      <c r="F710" s="113" t="s">
        <v>1873</v>
      </c>
      <c r="G710" s="48">
        <v>0.4</v>
      </c>
      <c r="H710" s="46" t="s">
        <v>1894</v>
      </c>
      <c r="I710" s="113" t="s">
        <v>1873</v>
      </c>
      <c r="J710" s="48">
        <v>0.4</v>
      </c>
      <c r="K710" s="46" t="s">
        <v>1874</v>
      </c>
      <c r="L710" s="113" t="s">
        <v>1873</v>
      </c>
      <c r="M710" s="48">
        <v>0.4</v>
      </c>
      <c r="N710" s="46" t="s">
        <v>1874</v>
      </c>
      <c r="O710" s="113" t="s">
        <v>1873</v>
      </c>
      <c r="P710" s="48">
        <v>0.6</v>
      </c>
      <c r="Q710" s="55" t="s">
        <v>1874</v>
      </c>
      <c r="R710" s="113" t="s">
        <v>1873</v>
      </c>
      <c r="S710" s="48">
        <v>0.6</v>
      </c>
      <c r="T710" s="55" t="s">
        <v>1874</v>
      </c>
      <c r="U710" s="113" t="s">
        <v>1873</v>
      </c>
      <c r="V710" s="48">
        <v>0.5</v>
      </c>
      <c r="W710" s="55" t="s">
        <v>1875</v>
      </c>
      <c r="X710" s="113" t="s">
        <v>2831</v>
      </c>
      <c r="Y710" s="48">
        <v>0.3</v>
      </c>
      <c r="Z710" s="49" t="s">
        <v>1410</v>
      </c>
      <c r="AA710" s="50" t="s">
        <v>1876</v>
      </c>
      <c r="AB710" s="51">
        <v>0.3</v>
      </c>
    </row>
    <row r="711" spans="1:28" ht="13.5" customHeight="1">
      <c r="A711" s="27"/>
      <c r="B711" s="44"/>
      <c r="C711" s="36"/>
      <c r="D711" s="6"/>
      <c r="E711" s="46"/>
      <c r="F711" s="47"/>
      <c r="G711" s="48"/>
      <c r="H711" s="46"/>
      <c r="I711" s="47"/>
      <c r="J711" s="48"/>
      <c r="K711" s="46"/>
      <c r="L711" s="47"/>
      <c r="M711" s="48"/>
      <c r="N711" s="46"/>
      <c r="O711" s="47"/>
      <c r="P711" s="48"/>
      <c r="Q711" s="55"/>
      <c r="R711" s="47"/>
      <c r="S711" s="48"/>
      <c r="T711" s="55"/>
      <c r="U711" s="47"/>
      <c r="V711" s="48"/>
      <c r="W711" s="55" t="s">
        <v>1877</v>
      </c>
      <c r="X711" s="47" t="s">
        <v>2832</v>
      </c>
      <c r="Y711" s="48">
        <v>0.3</v>
      </c>
      <c r="Z711" s="49" t="s">
        <v>1414</v>
      </c>
      <c r="AA711" s="50" t="s">
        <v>1878</v>
      </c>
      <c r="AB711" s="51">
        <v>0.3</v>
      </c>
    </row>
    <row r="712" spans="1:28" ht="13.5" customHeight="1">
      <c r="A712" s="27"/>
      <c r="B712" s="44"/>
      <c r="C712" s="36"/>
      <c r="D712" s="6"/>
      <c r="E712" s="46"/>
      <c r="F712" s="47"/>
      <c r="G712" s="48"/>
      <c r="H712" s="46"/>
      <c r="I712" s="47"/>
      <c r="J712" s="48"/>
      <c r="K712" s="46"/>
      <c r="L712" s="47"/>
      <c r="M712" s="48"/>
      <c r="N712" s="46"/>
      <c r="O712" s="47"/>
      <c r="P712" s="48"/>
      <c r="Q712" s="55"/>
      <c r="R712" s="47"/>
      <c r="S712" s="48"/>
      <c r="T712" s="55"/>
      <c r="U712" s="47"/>
      <c r="V712" s="48"/>
      <c r="W712" s="55"/>
      <c r="X712" s="47"/>
      <c r="Y712" s="48"/>
      <c r="Z712" s="49"/>
      <c r="AA712" s="50"/>
      <c r="AB712" s="51"/>
    </row>
    <row r="713" spans="1:28" ht="13.5" customHeight="1">
      <c r="A713" s="27"/>
      <c r="B713" s="44"/>
      <c r="C713" s="44"/>
      <c r="D713" s="6"/>
      <c r="E713" s="46"/>
      <c r="F713" s="47"/>
      <c r="G713" s="48"/>
      <c r="H713" s="46"/>
      <c r="I713" s="47"/>
      <c r="J713" s="48"/>
      <c r="K713" s="46"/>
      <c r="L713" s="47"/>
      <c r="M713" s="48"/>
      <c r="N713" s="46"/>
      <c r="O713" s="47"/>
      <c r="P713" s="48"/>
      <c r="Q713" s="55"/>
      <c r="R713" s="47"/>
      <c r="S713" s="48"/>
      <c r="T713" s="55"/>
      <c r="U713" s="47"/>
      <c r="V713" s="48"/>
      <c r="W713" s="55"/>
      <c r="X713" s="47"/>
      <c r="Y713" s="48"/>
      <c r="Z713" s="49"/>
      <c r="AA713" s="50"/>
      <c r="AB713" s="51"/>
    </row>
    <row r="714" spans="1:28" ht="13.5" customHeight="1">
      <c r="A714" s="27"/>
      <c r="B714" s="44"/>
      <c r="C714" s="44"/>
      <c r="D714" s="6"/>
      <c r="E714" s="46" t="s">
        <v>1897</v>
      </c>
      <c r="F714" s="47" t="s">
        <v>1879</v>
      </c>
      <c r="G714" s="48">
        <v>0.2</v>
      </c>
      <c r="H714" s="46" t="s">
        <v>1897</v>
      </c>
      <c r="I714" s="47" t="s">
        <v>1879</v>
      </c>
      <c r="J714" s="48">
        <v>0.3</v>
      </c>
      <c r="K714" s="46" t="s">
        <v>1880</v>
      </c>
      <c r="L714" s="47" t="s">
        <v>1879</v>
      </c>
      <c r="M714" s="48">
        <v>0.3</v>
      </c>
      <c r="N714" s="46" t="s">
        <v>1880</v>
      </c>
      <c r="O714" s="47" t="s">
        <v>1879</v>
      </c>
      <c r="P714" s="48">
        <v>0.2</v>
      </c>
      <c r="Q714" s="55" t="s">
        <v>1880</v>
      </c>
      <c r="R714" s="47" t="s">
        <v>1879</v>
      </c>
      <c r="S714" s="48">
        <v>0.3</v>
      </c>
      <c r="T714" s="55" t="s">
        <v>1880</v>
      </c>
      <c r="U714" s="47" t="s">
        <v>1879</v>
      </c>
      <c r="V714" s="48">
        <v>0.2</v>
      </c>
      <c r="W714" s="55" t="s">
        <v>1881</v>
      </c>
      <c r="X714" s="47" t="s">
        <v>2833</v>
      </c>
      <c r="Y714" s="48">
        <v>0.3</v>
      </c>
      <c r="Z714" s="49" t="s">
        <v>1882</v>
      </c>
      <c r="AA714" s="50" t="s">
        <v>1883</v>
      </c>
      <c r="AB714" s="51">
        <v>0.2</v>
      </c>
    </row>
    <row r="715" spans="1:28" ht="13.5" customHeight="1">
      <c r="A715" s="27"/>
      <c r="B715" s="44"/>
      <c r="C715" s="36"/>
      <c r="D715" s="6"/>
      <c r="E715" s="46"/>
      <c r="F715" s="47"/>
      <c r="G715" s="48"/>
      <c r="H715" s="46"/>
      <c r="I715" s="47"/>
      <c r="J715" s="48"/>
      <c r="K715" s="46"/>
      <c r="L715" s="47"/>
      <c r="M715" s="48"/>
      <c r="N715" s="46"/>
      <c r="O715" s="47"/>
      <c r="P715" s="48"/>
      <c r="Q715" s="55"/>
      <c r="R715" s="47"/>
      <c r="S715" s="48"/>
      <c r="T715" s="55"/>
      <c r="U715" s="47"/>
      <c r="V715" s="48"/>
      <c r="W715" s="55"/>
      <c r="X715" s="47"/>
      <c r="Y715" s="48"/>
      <c r="Z715" s="49" t="s">
        <v>1884</v>
      </c>
      <c r="AA715" s="50" t="s">
        <v>1885</v>
      </c>
      <c r="AB715" s="51">
        <v>0.2</v>
      </c>
    </row>
    <row r="716" spans="1:28" ht="13.5" customHeight="1">
      <c r="A716" s="27"/>
      <c r="B716" s="44"/>
      <c r="C716" s="36"/>
      <c r="D716" s="6"/>
      <c r="E716" s="46"/>
      <c r="F716" s="47"/>
      <c r="G716" s="48"/>
      <c r="H716" s="46"/>
      <c r="I716" s="47"/>
      <c r="J716" s="48"/>
      <c r="K716" s="46" t="s">
        <v>1887</v>
      </c>
      <c r="L716" s="47" t="s">
        <v>1886</v>
      </c>
      <c r="M716" s="48">
        <v>0.2</v>
      </c>
      <c r="N716" s="46" t="s">
        <v>1887</v>
      </c>
      <c r="O716" s="47" t="s">
        <v>1886</v>
      </c>
      <c r="P716" s="48">
        <v>0.3</v>
      </c>
      <c r="Q716" s="55" t="s">
        <v>1887</v>
      </c>
      <c r="R716" s="47" t="s">
        <v>1886</v>
      </c>
      <c r="S716" s="48">
        <v>0.3</v>
      </c>
      <c r="T716" s="55" t="s">
        <v>1887</v>
      </c>
      <c r="U716" s="47" t="s">
        <v>1886</v>
      </c>
      <c r="V716" s="48">
        <v>0.2</v>
      </c>
      <c r="W716" s="55" t="s">
        <v>1888</v>
      </c>
      <c r="X716" s="47" t="s">
        <v>2834</v>
      </c>
      <c r="Y716" s="48">
        <v>0.5</v>
      </c>
      <c r="Z716" s="49" t="s">
        <v>1418</v>
      </c>
      <c r="AA716" s="50" t="s">
        <v>1886</v>
      </c>
      <c r="AB716" s="51">
        <v>0.7</v>
      </c>
    </row>
    <row r="717" spans="1:28" ht="13.5" customHeight="1">
      <c r="A717" s="27"/>
      <c r="B717" s="44"/>
      <c r="C717" s="36"/>
      <c r="D717" s="6"/>
      <c r="E717" s="46"/>
      <c r="F717" s="47"/>
      <c r="G717" s="48"/>
      <c r="H717" s="46"/>
      <c r="I717" s="47"/>
      <c r="J717" s="48"/>
      <c r="K717" s="46"/>
      <c r="L717" s="47"/>
      <c r="M717" s="48"/>
      <c r="N717" s="46"/>
      <c r="O717" s="47"/>
      <c r="P717" s="48"/>
      <c r="Q717" s="55"/>
      <c r="R717" s="47"/>
      <c r="S717" s="48"/>
      <c r="T717" s="55"/>
      <c r="U717" s="47"/>
      <c r="V717" s="48"/>
      <c r="W717" s="55"/>
      <c r="X717" s="47"/>
      <c r="Y717" s="48"/>
      <c r="Z717" s="49"/>
      <c r="AA717" s="50"/>
      <c r="AB717" s="51"/>
    </row>
    <row r="718" spans="1:28" ht="13.5" customHeight="1">
      <c r="A718" s="27"/>
      <c r="B718" s="44"/>
      <c r="C718" s="36"/>
      <c r="D718" s="6"/>
      <c r="E718" s="46"/>
      <c r="F718" s="47"/>
      <c r="G718" s="48"/>
      <c r="H718" s="46"/>
      <c r="I718" s="47"/>
      <c r="J718" s="48"/>
      <c r="K718" s="46" t="s">
        <v>1890</v>
      </c>
      <c r="L718" s="47" t="s">
        <v>1889</v>
      </c>
      <c r="M718" s="48">
        <v>0.1</v>
      </c>
      <c r="N718" s="46" t="s">
        <v>1890</v>
      </c>
      <c r="O718" s="47" t="s">
        <v>1889</v>
      </c>
      <c r="P718" s="48">
        <v>0.2</v>
      </c>
      <c r="Q718" s="55" t="s">
        <v>1890</v>
      </c>
      <c r="R718" s="47" t="s">
        <v>1889</v>
      </c>
      <c r="S718" s="48">
        <v>0.2</v>
      </c>
      <c r="T718" s="55" t="s">
        <v>1890</v>
      </c>
      <c r="U718" s="47" t="s">
        <v>1889</v>
      </c>
      <c r="V718" s="48">
        <v>0.2</v>
      </c>
      <c r="W718" s="55" t="s">
        <v>1891</v>
      </c>
      <c r="X718" s="47" t="s">
        <v>2835</v>
      </c>
      <c r="Y718" s="48">
        <v>0.2</v>
      </c>
      <c r="Z718" s="49" t="s">
        <v>1892</v>
      </c>
      <c r="AA718" s="50" t="s">
        <v>1889</v>
      </c>
      <c r="AB718" s="51">
        <v>0.2</v>
      </c>
    </row>
    <row r="719" spans="1:28" ht="13.5" customHeight="1">
      <c r="A719" s="27"/>
      <c r="B719" s="44"/>
      <c r="C719" s="36"/>
      <c r="D719" s="6"/>
      <c r="E719" s="46"/>
      <c r="F719" s="47"/>
      <c r="G719" s="48"/>
      <c r="H719" s="46"/>
      <c r="I719" s="47"/>
      <c r="J719" s="48"/>
      <c r="K719" s="46" t="s">
        <v>1894</v>
      </c>
      <c r="L719" s="47" t="s">
        <v>1893</v>
      </c>
      <c r="M719" s="48">
        <v>0.1</v>
      </c>
      <c r="N719" s="46" t="s">
        <v>1894</v>
      </c>
      <c r="O719" s="47" t="s">
        <v>1893</v>
      </c>
      <c r="P719" s="48">
        <v>0.2</v>
      </c>
      <c r="Q719" s="55" t="s">
        <v>1894</v>
      </c>
      <c r="R719" s="47" t="s">
        <v>1893</v>
      </c>
      <c r="S719" s="48">
        <v>0.3</v>
      </c>
      <c r="T719" s="55" t="s">
        <v>1894</v>
      </c>
      <c r="U719" s="47" t="s">
        <v>1893</v>
      </c>
      <c r="V719" s="48">
        <v>0.2</v>
      </c>
      <c r="W719" s="55" t="s">
        <v>1895</v>
      </c>
      <c r="X719" s="47" t="s">
        <v>2836</v>
      </c>
      <c r="Y719" s="48">
        <v>0.2</v>
      </c>
      <c r="Z719" s="49" t="s">
        <v>1896</v>
      </c>
      <c r="AA719" s="50" t="s">
        <v>1893</v>
      </c>
      <c r="AB719" s="51">
        <v>0.6</v>
      </c>
    </row>
    <row r="720" spans="1:28" ht="13.5" customHeight="1">
      <c r="A720" s="27"/>
      <c r="B720" s="44"/>
      <c r="C720" s="36"/>
      <c r="D720" s="6"/>
      <c r="E720" s="46"/>
      <c r="F720" s="47"/>
      <c r="G720" s="48"/>
      <c r="H720" s="46"/>
      <c r="I720" s="47"/>
      <c r="J720" s="48"/>
      <c r="K720" s="46"/>
      <c r="L720" s="47"/>
      <c r="M720" s="48"/>
      <c r="N720" s="46"/>
      <c r="O720" s="47"/>
      <c r="P720" s="48"/>
      <c r="Q720" s="55"/>
      <c r="R720" s="47"/>
      <c r="S720" s="48"/>
      <c r="T720" s="55"/>
      <c r="U720" s="47"/>
      <c r="V720" s="48"/>
      <c r="W720" s="55"/>
      <c r="X720" s="47"/>
      <c r="Y720" s="48"/>
      <c r="Z720" s="49"/>
      <c r="AA720" s="50"/>
      <c r="AB720" s="51"/>
    </row>
    <row r="721" spans="1:28" ht="13.5" customHeight="1">
      <c r="A721" s="27"/>
      <c r="B721" s="44"/>
      <c r="C721" s="36"/>
      <c r="D721" s="6"/>
      <c r="E721" s="46"/>
      <c r="F721" s="47"/>
      <c r="G721" s="48"/>
      <c r="H721" s="46"/>
      <c r="I721" s="47"/>
      <c r="J721" s="48"/>
      <c r="K721" s="46"/>
      <c r="L721" s="47"/>
      <c r="M721" s="48"/>
      <c r="N721" s="46"/>
      <c r="O721" s="47"/>
      <c r="P721" s="48"/>
      <c r="Q721" s="55"/>
      <c r="R721" s="47"/>
      <c r="S721" s="48"/>
      <c r="T721" s="55"/>
      <c r="U721" s="47"/>
      <c r="V721" s="48"/>
      <c r="W721" s="55"/>
      <c r="X721" s="47"/>
      <c r="Y721" s="48"/>
      <c r="Z721" s="49"/>
      <c r="AA721" s="50"/>
      <c r="AB721" s="51"/>
    </row>
    <row r="722" spans="1:28" ht="13.5" customHeight="1">
      <c r="A722" s="27"/>
      <c r="B722" s="44"/>
      <c r="C722" s="36"/>
      <c r="D722" s="6"/>
      <c r="E722" s="46"/>
      <c r="F722" s="47"/>
      <c r="G722" s="48"/>
      <c r="H722" s="46"/>
      <c r="I722" s="47"/>
      <c r="J722" s="48"/>
      <c r="K722" s="46"/>
      <c r="L722" s="47"/>
      <c r="M722" s="48"/>
      <c r="N722" s="46"/>
      <c r="O722" s="47"/>
      <c r="P722" s="48"/>
      <c r="Q722" s="55"/>
      <c r="R722" s="47"/>
      <c r="S722" s="48"/>
      <c r="T722" s="55"/>
      <c r="U722" s="47"/>
      <c r="V722" s="48"/>
      <c r="W722" s="55"/>
      <c r="X722" s="47"/>
      <c r="Y722" s="48"/>
      <c r="Z722" s="49"/>
      <c r="AA722" s="50"/>
      <c r="AB722" s="51"/>
    </row>
    <row r="723" spans="1:28" ht="13.5" customHeight="1">
      <c r="A723" s="27"/>
      <c r="B723" s="44"/>
      <c r="C723" s="36"/>
      <c r="D723" s="6"/>
      <c r="E723" s="46" t="s">
        <v>1890</v>
      </c>
      <c r="F723" s="56" t="s">
        <v>2989</v>
      </c>
      <c r="G723" s="48">
        <v>0.1</v>
      </c>
      <c r="H723" s="46" t="s">
        <v>1890</v>
      </c>
      <c r="I723" s="56" t="s">
        <v>2989</v>
      </c>
      <c r="J723" s="48">
        <v>0.1</v>
      </c>
      <c r="K723" s="46" t="s">
        <v>1897</v>
      </c>
      <c r="L723" s="56" t="s">
        <v>2989</v>
      </c>
      <c r="M723" s="48">
        <v>0.2</v>
      </c>
      <c r="N723" s="46" t="s">
        <v>1897</v>
      </c>
      <c r="O723" s="56" t="s">
        <v>2989</v>
      </c>
      <c r="P723" s="48">
        <v>0.3</v>
      </c>
      <c r="Q723" s="241" t="s">
        <v>1897</v>
      </c>
      <c r="R723" s="56" t="s">
        <v>1898</v>
      </c>
      <c r="S723" s="58">
        <v>0.2</v>
      </c>
      <c r="T723" s="241" t="s">
        <v>1897</v>
      </c>
      <c r="U723" s="56" t="s">
        <v>1898</v>
      </c>
      <c r="V723" s="58">
        <v>0.2</v>
      </c>
      <c r="W723" s="241"/>
      <c r="X723" s="56"/>
      <c r="Y723" s="58"/>
      <c r="Z723" s="59"/>
      <c r="AA723" s="60"/>
      <c r="AB723" s="61"/>
    </row>
    <row r="724" spans="1:28" ht="13.5" customHeight="1">
      <c r="A724" s="27"/>
      <c r="B724" s="44"/>
      <c r="C724" s="114"/>
      <c r="D724" s="83"/>
      <c r="E724" s="46" t="s">
        <v>1887</v>
      </c>
      <c r="F724" s="75" t="s">
        <v>2990</v>
      </c>
      <c r="G724" s="48">
        <v>0.5</v>
      </c>
      <c r="H724" s="46" t="s">
        <v>1887</v>
      </c>
      <c r="I724" s="75" t="s">
        <v>2990</v>
      </c>
      <c r="J724" s="48">
        <v>0.6</v>
      </c>
      <c r="K724" s="46"/>
      <c r="L724" s="75"/>
      <c r="M724" s="48"/>
      <c r="N724" s="46"/>
      <c r="O724" s="75"/>
      <c r="P724" s="48"/>
      <c r="Q724" s="76"/>
      <c r="R724" s="75"/>
      <c r="S724" s="77"/>
      <c r="T724" s="76"/>
      <c r="U724" s="75"/>
      <c r="V724" s="77"/>
      <c r="W724" s="116"/>
      <c r="X724" s="75"/>
      <c r="Y724" s="77"/>
      <c r="Z724" s="78"/>
      <c r="AA724" s="79"/>
      <c r="AB724" s="80"/>
    </row>
    <row r="725" spans="1:28" ht="13.5" customHeight="1">
      <c r="A725" s="27"/>
      <c r="B725" s="84" t="s">
        <v>1899</v>
      </c>
      <c r="C725" s="21"/>
      <c r="D725" s="6" t="s">
        <v>1900</v>
      </c>
      <c r="E725" s="31" t="s">
        <v>1901</v>
      </c>
      <c r="F725" s="63"/>
      <c r="G725" s="33">
        <f>G726</f>
        <v>7.5</v>
      </c>
      <c r="H725" s="31" t="s">
        <v>1901</v>
      </c>
      <c r="I725" s="63"/>
      <c r="J725" s="33">
        <f>J726</f>
        <v>3.9</v>
      </c>
      <c r="K725" s="31" t="s">
        <v>1901</v>
      </c>
      <c r="L725" s="63"/>
      <c r="M725" s="33">
        <f>M726</f>
        <v>16.5</v>
      </c>
      <c r="N725" s="31" t="s">
        <v>1901</v>
      </c>
      <c r="O725" s="63"/>
      <c r="P725" s="33">
        <f>P726</f>
        <v>12.8</v>
      </c>
      <c r="Q725" s="31" t="s">
        <v>1901</v>
      </c>
      <c r="R725" s="63"/>
      <c r="S725" s="33">
        <f>S726</f>
        <v>9.6999999999999993</v>
      </c>
      <c r="T725" s="31" t="s">
        <v>1901</v>
      </c>
      <c r="U725" s="63"/>
      <c r="V725" s="33">
        <f>V726</f>
        <v>8.1999999999999993</v>
      </c>
      <c r="W725" s="166"/>
      <c r="X725" s="63"/>
      <c r="Y725" s="33">
        <f>Y726</f>
        <v>8</v>
      </c>
      <c r="Z725" s="65"/>
      <c r="AA725" s="66"/>
      <c r="AB725" s="33">
        <f>AB726</f>
        <v>5.8</v>
      </c>
    </row>
    <row r="726" spans="1:28" ht="13.5" customHeight="1">
      <c r="A726" s="27"/>
      <c r="B726" s="36"/>
      <c r="C726" s="28" t="s">
        <v>1902</v>
      </c>
      <c r="D726" s="30" t="s">
        <v>1900</v>
      </c>
      <c r="E726" s="37" t="s">
        <v>1903</v>
      </c>
      <c r="F726" s="71"/>
      <c r="G726" s="39">
        <f>SUM(G727:G728)</f>
        <v>7.5</v>
      </c>
      <c r="H726" s="37" t="s">
        <v>1903</v>
      </c>
      <c r="I726" s="71"/>
      <c r="J726" s="39">
        <f>SUM(J727:J728)</f>
        <v>3.9</v>
      </c>
      <c r="K726" s="37" t="s">
        <v>1903</v>
      </c>
      <c r="L726" s="71"/>
      <c r="M726" s="39">
        <f>SUM(M727:M728)</f>
        <v>16.5</v>
      </c>
      <c r="N726" s="37" t="s">
        <v>1903</v>
      </c>
      <c r="O726" s="71"/>
      <c r="P726" s="39">
        <f>SUM(P727:P728)</f>
        <v>12.8</v>
      </c>
      <c r="Q726" s="37" t="s">
        <v>1903</v>
      </c>
      <c r="R726" s="71"/>
      <c r="S726" s="39">
        <f>SUM(S727:S728)</f>
        <v>9.6999999999999993</v>
      </c>
      <c r="T726" s="37" t="s">
        <v>1903</v>
      </c>
      <c r="U726" s="71"/>
      <c r="V726" s="39">
        <f>SUM(V727:V728)</f>
        <v>8.1999999999999993</v>
      </c>
      <c r="W726" s="168"/>
      <c r="X726" s="71"/>
      <c r="Y726" s="39">
        <f>SUM(Y727:Y728)</f>
        <v>8</v>
      </c>
      <c r="Z726" s="42"/>
      <c r="AA726" s="43"/>
      <c r="AB726" s="39">
        <f>SUM(AB727:AB728)</f>
        <v>5.8</v>
      </c>
    </row>
    <row r="727" spans="1:28" ht="13.5" customHeight="1">
      <c r="A727" s="27"/>
      <c r="B727" s="144"/>
      <c r="C727" s="21"/>
      <c r="D727" s="45"/>
      <c r="E727" s="46" t="s">
        <v>1904</v>
      </c>
      <c r="F727" s="47" t="s">
        <v>2837</v>
      </c>
      <c r="G727" s="48">
        <v>2</v>
      </c>
      <c r="H727" s="46" t="s">
        <v>1904</v>
      </c>
      <c r="I727" s="47" t="s">
        <v>2837</v>
      </c>
      <c r="J727" s="48">
        <v>1.5</v>
      </c>
      <c r="K727" s="46" t="s">
        <v>1904</v>
      </c>
      <c r="L727" s="47" t="s">
        <v>2837</v>
      </c>
      <c r="M727" s="48">
        <v>2.7</v>
      </c>
      <c r="N727" s="46" t="s">
        <v>1904</v>
      </c>
      <c r="O727" s="47" t="s">
        <v>2837</v>
      </c>
      <c r="P727" s="48">
        <v>2.8</v>
      </c>
      <c r="Q727" s="46" t="s">
        <v>1904</v>
      </c>
      <c r="R727" s="47" t="s">
        <v>1905</v>
      </c>
      <c r="S727" s="48">
        <v>2.6</v>
      </c>
      <c r="T727" s="46" t="s">
        <v>1904</v>
      </c>
      <c r="U727" s="47" t="s">
        <v>1905</v>
      </c>
      <c r="V727" s="48">
        <v>2.7</v>
      </c>
      <c r="W727" s="46" t="s">
        <v>1906</v>
      </c>
      <c r="X727" s="47" t="s">
        <v>2838</v>
      </c>
      <c r="Y727" s="48">
        <v>4</v>
      </c>
      <c r="Z727" s="49" t="s">
        <v>1907</v>
      </c>
      <c r="AA727" s="50" t="s">
        <v>1905</v>
      </c>
      <c r="AB727" s="51">
        <v>2.9</v>
      </c>
    </row>
    <row r="728" spans="1:28" ht="13.5" customHeight="1">
      <c r="A728" s="27"/>
      <c r="B728" s="44"/>
      <c r="C728" s="82"/>
      <c r="D728" s="83"/>
      <c r="E728" s="57" t="s">
        <v>1908</v>
      </c>
      <c r="F728" s="56" t="s">
        <v>2839</v>
      </c>
      <c r="G728" s="58">
        <v>5.5</v>
      </c>
      <c r="H728" s="57" t="s">
        <v>1908</v>
      </c>
      <c r="I728" s="56" t="s">
        <v>2839</v>
      </c>
      <c r="J728" s="58">
        <v>2.4</v>
      </c>
      <c r="K728" s="57" t="s">
        <v>1908</v>
      </c>
      <c r="L728" s="56" t="s">
        <v>2839</v>
      </c>
      <c r="M728" s="58">
        <v>13.8</v>
      </c>
      <c r="N728" s="57" t="s">
        <v>1908</v>
      </c>
      <c r="O728" s="56" t="s">
        <v>2839</v>
      </c>
      <c r="P728" s="58">
        <v>10</v>
      </c>
      <c r="Q728" s="57" t="s">
        <v>1908</v>
      </c>
      <c r="R728" s="56" t="s">
        <v>1909</v>
      </c>
      <c r="S728" s="58">
        <v>7.1</v>
      </c>
      <c r="T728" s="57" t="s">
        <v>1908</v>
      </c>
      <c r="U728" s="56" t="s">
        <v>1909</v>
      </c>
      <c r="V728" s="58">
        <v>5.5</v>
      </c>
      <c r="W728" s="57" t="s">
        <v>1910</v>
      </c>
      <c r="X728" s="56" t="s">
        <v>2840</v>
      </c>
      <c r="Y728" s="58">
        <v>4</v>
      </c>
      <c r="Z728" s="59" t="s">
        <v>1911</v>
      </c>
      <c r="AA728" s="60" t="s">
        <v>1909</v>
      </c>
      <c r="AB728" s="61">
        <v>2.9</v>
      </c>
    </row>
    <row r="729" spans="1:28" ht="13.5" customHeight="1">
      <c r="A729" s="85" t="s">
        <v>1912</v>
      </c>
      <c r="B729" s="29"/>
      <c r="C729" s="21"/>
      <c r="D729" s="6" t="s">
        <v>1913</v>
      </c>
      <c r="E729" s="215"/>
      <c r="F729" s="92"/>
      <c r="G729" s="100">
        <f>SUM(G730,G734,G739,G746)</f>
        <v>73.90000000000002</v>
      </c>
      <c r="H729" s="215"/>
      <c r="I729" s="92"/>
      <c r="J729" s="100">
        <f>SUM(J730,J734,J739,J746)</f>
        <v>70.3</v>
      </c>
      <c r="K729" s="215"/>
      <c r="L729" s="92"/>
      <c r="M729" s="100">
        <f>SUM(M730,M734,M739,M746)</f>
        <v>89.600000000000009</v>
      </c>
      <c r="N729" s="215"/>
      <c r="O729" s="92"/>
      <c r="P729" s="100">
        <f>SUM(P730,P734,P739,P746)</f>
        <v>97</v>
      </c>
      <c r="Q729" s="215"/>
      <c r="R729" s="92"/>
      <c r="S729" s="100">
        <f>SUM(S730,S734,S739,S746)</f>
        <v>103.5</v>
      </c>
      <c r="T729" s="215"/>
      <c r="U729" s="92"/>
      <c r="V729" s="100">
        <f>SUM(V730,V734,V739,V746)</f>
        <v>114.10000000000001</v>
      </c>
      <c r="W729" s="215"/>
      <c r="X729" s="92"/>
      <c r="Y729" s="100">
        <f>SUM(Y730,Y734,Y739,Y746)</f>
        <v>112</v>
      </c>
      <c r="Z729" s="94"/>
      <c r="AA729" s="95"/>
      <c r="AB729" s="100">
        <f>SUM(AB730,AB734,AB739,AB746)</f>
        <v>109.69999999999999</v>
      </c>
    </row>
    <row r="730" spans="1:28" ht="13.5" customHeight="1">
      <c r="A730" s="104"/>
      <c r="B730" s="28" t="s">
        <v>1914</v>
      </c>
      <c r="C730" s="29"/>
      <c r="D730" s="30" t="s">
        <v>1915</v>
      </c>
      <c r="E730" s="31" t="s">
        <v>1916</v>
      </c>
      <c r="F730" s="118"/>
      <c r="G730" s="33">
        <f>G731</f>
        <v>1.8</v>
      </c>
      <c r="H730" s="31" t="s">
        <v>1916</v>
      </c>
      <c r="I730" s="118"/>
      <c r="J730" s="33">
        <f>J731</f>
        <v>1.9</v>
      </c>
      <c r="K730" s="31" t="s">
        <v>1916</v>
      </c>
      <c r="L730" s="118"/>
      <c r="M730" s="33">
        <f>M731</f>
        <v>3.2</v>
      </c>
      <c r="N730" s="31" t="s">
        <v>1916</v>
      </c>
      <c r="O730" s="118"/>
      <c r="P730" s="33">
        <f>P731</f>
        <v>3.6</v>
      </c>
      <c r="Q730" s="31" t="s">
        <v>1916</v>
      </c>
      <c r="R730" s="118"/>
      <c r="S730" s="33">
        <f>S731</f>
        <v>4.9000000000000004</v>
      </c>
      <c r="T730" s="31" t="s">
        <v>1916</v>
      </c>
      <c r="U730" s="118"/>
      <c r="V730" s="33">
        <f>V731</f>
        <v>6.9</v>
      </c>
      <c r="W730" s="126"/>
      <c r="X730" s="118"/>
      <c r="Y730" s="33">
        <f>Y731</f>
        <v>8.5</v>
      </c>
      <c r="Z730" s="65"/>
      <c r="AA730" s="66"/>
      <c r="AB730" s="33">
        <f>AB731</f>
        <v>9</v>
      </c>
    </row>
    <row r="731" spans="1:28" ht="13.5" customHeight="1">
      <c r="A731" s="104"/>
      <c r="B731" s="144"/>
      <c r="C731" s="28" t="s">
        <v>1917</v>
      </c>
      <c r="D731" s="30" t="s">
        <v>1915</v>
      </c>
      <c r="E731" s="37" t="s">
        <v>1918</v>
      </c>
      <c r="F731" s="41"/>
      <c r="G731" s="39">
        <f>SUM(G732:G733)</f>
        <v>1.8</v>
      </c>
      <c r="H731" s="37" t="s">
        <v>1918</v>
      </c>
      <c r="I731" s="41"/>
      <c r="J731" s="39">
        <f>SUM(J732:J733)</f>
        <v>1.9</v>
      </c>
      <c r="K731" s="37" t="s">
        <v>1918</v>
      </c>
      <c r="L731" s="41"/>
      <c r="M731" s="39">
        <f>SUM(M732:M733)</f>
        <v>3.2</v>
      </c>
      <c r="N731" s="37" t="s">
        <v>1918</v>
      </c>
      <c r="O731" s="41"/>
      <c r="P731" s="39">
        <f>SUM(P732:P733)</f>
        <v>3.6</v>
      </c>
      <c r="Q731" s="37" t="s">
        <v>1918</v>
      </c>
      <c r="R731" s="41"/>
      <c r="S731" s="39">
        <f>SUM(S732:S733)</f>
        <v>4.9000000000000004</v>
      </c>
      <c r="T731" s="37" t="s">
        <v>1918</v>
      </c>
      <c r="U731" s="41"/>
      <c r="V731" s="39">
        <f>SUM(V732:V733)</f>
        <v>6.9</v>
      </c>
      <c r="W731" s="40"/>
      <c r="X731" s="41"/>
      <c r="Y731" s="39">
        <f>SUM(Y732:Y733)</f>
        <v>8.5</v>
      </c>
      <c r="Z731" s="42"/>
      <c r="AA731" s="43"/>
      <c r="AB731" s="39">
        <f>SUM(AB732:AB733)</f>
        <v>9</v>
      </c>
    </row>
    <row r="732" spans="1:28" ht="13.5" customHeight="1">
      <c r="A732" s="27"/>
      <c r="B732" s="144"/>
      <c r="C732" s="21"/>
      <c r="D732" s="45"/>
      <c r="E732" s="46" t="s">
        <v>1919</v>
      </c>
      <c r="F732" s="47" t="s">
        <v>2841</v>
      </c>
      <c r="G732" s="48">
        <v>1.8</v>
      </c>
      <c r="H732" s="46" t="s">
        <v>1919</v>
      </c>
      <c r="I732" s="47" t="s">
        <v>2841</v>
      </c>
      <c r="J732" s="48">
        <v>1.9</v>
      </c>
      <c r="K732" s="46" t="s">
        <v>1919</v>
      </c>
      <c r="L732" s="47" t="s">
        <v>2841</v>
      </c>
      <c r="M732" s="48">
        <v>3.2</v>
      </c>
      <c r="N732" s="46" t="s">
        <v>1919</v>
      </c>
      <c r="O732" s="47" t="s">
        <v>2841</v>
      </c>
      <c r="P732" s="48">
        <v>3.6</v>
      </c>
      <c r="Q732" s="46" t="s">
        <v>1919</v>
      </c>
      <c r="R732" s="47" t="s">
        <v>1920</v>
      </c>
      <c r="S732" s="48">
        <v>4.9000000000000004</v>
      </c>
      <c r="T732" s="46" t="s">
        <v>1919</v>
      </c>
      <c r="U732" s="47" t="s">
        <v>1920</v>
      </c>
      <c r="V732" s="48">
        <v>6.9</v>
      </c>
      <c r="W732" s="46" t="s">
        <v>1921</v>
      </c>
      <c r="X732" s="47" t="s">
        <v>2842</v>
      </c>
      <c r="Y732" s="48">
        <v>8.5</v>
      </c>
      <c r="Z732" s="49" t="s">
        <v>1398</v>
      </c>
      <c r="AA732" s="50" t="s">
        <v>1920</v>
      </c>
      <c r="AB732" s="51">
        <v>9</v>
      </c>
    </row>
    <row r="733" spans="1:28" ht="13.5" customHeight="1">
      <c r="A733" s="27"/>
      <c r="B733" s="209"/>
      <c r="C733" s="114"/>
      <c r="D733" s="83"/>
      <c r="E733" s="46"/>
      <c r="F733" s="75"/>
      <c r="G733" s="48"/>
      <c r="H733" s="46"/>
      <c r="I733" s="75"/>
      <c r="J733" s="48"/>
      <c r="K733" s="46"/>
      <c r="L733" s="75"/>
      <c r="M733" s="48"/>
      <c r="N733" s="46"/>
      <c r="O733" s="75"/>
      <c r="P733" s="48"/>
      <c r="Q733" s="76"/>
      <c r="R733" s="75"/>
      <c r="S733" s="77"/>
      <c r="T733" s="76"/>
      <c r="U733" s="75"/>
      <c r="V733" s="77"/>
      <c r="W733" s="76"/>
      <c r="X733" s="75"/>
      <c r="Y733" s="77"/>
      <c r="Z733" s="78"/>
      <c r="AA733" s="79"/>
      <c r="AB733" s="80"/>
    </row>
    <row r="734" spans="1:28" ht="13.5" customHeight="1">
      <c r="A734" s="27"/>
      <c r="B734" s="36" t="s">
        <v>1922</v>
      </c>
      <c r="C734" s="21"/>
      <c r="D734" s="6" t="s">
        <v>1923</v>
      </c>
      <c r="E734" s="31" t="s">
        <v>1924</v>
      </c>
      <c r="F734" s="63"/>
      <c r="G734" s="33">
        <f>G735</f>
        <v>0</v>
      </c>
      <c r="H734" s="31" t="s">
        <v>1924</v>
      </c>
      <c r="I734" s="63"/>
      <c r="J734" s="33">
        <f>J735</f>
        <v>0</v>
      </c>
      <c r="K734" s="31" t="s">
        <v>1924</v>
      </c>
      <c r="L734" s="63"/>
      <c r="M734" s="33">
        <f>M735</f>
        <v>4.9000000000000004</v>
      </c>
      <c r="N734" s="31" t="s">
        <v>1924</v>
      </c>
      <c r="O734" s="63"/>
      <c r="P734" s="33">
        <f>P735</f>
        <v>6.1</v>
      </c>
      <c r="Q734" s="31" t="s">
        <v>1924</v>
      </c>
      <c r="R734" s="63"/>
      <c r="S734" s="33">
        <f>S735</f>
        <v>6.8</v>
      </c>
      <c r="T734" s="31" t="s">
        <v>1924</v>
      </c>
      <c r="U734" s="63"/>
      <c r="V734" s="33">
        <f>V735</f>
        <v>7.6</v>
      </c>
      <c r="W734" s="62"/>
      <c r="X734" s="63"/>
      <c r="Y734" s="33">
        <f>Y735</f>
        <v>7.9</v>
      </c>
      <c r="Z734" s="65"/>
      <c r="AA734" s="66"/>
      <c r="AB734" s="33">
        <f>AB735</f>
        <v>13.4</v>
      </c>
    </row>
    <row r="735" spans="1:28" ht="13.5" customHeight="1">
      <c r="A735" s="27"/>
      <c r="B735" s="144"/>
      <c r="C735" s="28" t="s">
        <v>1925</v>
      </c>
      <c r="D735" s="30" t="s">
        <v>1923</v>
      </c>
      <c r="E735" s="37" t="s">
        <v>1926</v>
      </c>
      <c r="F735" s="71"/>
      <c r="G735" s="39">
        <f>SUM(G736:G738)</f>
        <v>0</v>
      </c>
      <c r="H735" s="37" t="s">
        <v>1926</v>
      </c>
      <c r="I735" s="71"/>
      <c r="J735" s="39">
        <f>SUM(J736:J738)</f>
        <v>0</v>
      </c>
      <c r="K735" s="37" t="s">
        <v>1926</v>
      </c>
      <c r="L735" s="71"/>
      <c r="M735" s="39">
        <f>SUM(M736:M738)</f>
        <v>4.9000000000000004</v>
      </c>
      <c r="N735" s="37" t="s">
        <v>1926</v>
      </c>
      <c r="O735" s="71"/>
      <c r="P735" s="39">
        <f>SUM(P736:P738)</f>
        <v>6.1</v>
      </c>
      <c r="Q735" s="37" t="s">
        <v>1926</v>
      </c>
      <c r="R735" s="71"/>
      <c r="S735" s="39">
        <f>SUM(S736:S738)</f>
        <v>6.8</v>
      </c>
      <c r="T735" s="37" t="s">
        <v>1926</v>
      </c>
      <c r="U735" s="71"/>
      <c r="V735" s="39">
        <f>SUM(V736:V738)</f>
        <v>7.6</v>
      </c>
      <c r="W735" s="72"/>
      <c r="X735" s="71"/>
      <c r="Y735" s="39">
        <f>SUM(Y736:Y738)</f>
        <v>7.9</v>
      </c>
      <c r="Z735" s="42"/>
      <c r="AA735" s="43"/>
      <c r="AB735" s="39">
        <f>SUM(AB736:AB738)</f>
        <v>13.4</v>
      </c>
    </row>
    <row r="736" spans="1:28" ht="13.5" customHeight="1">
      <c r="A736" s="27"/>
      <c r="B736" s="144"/>
      <c r="C736" s="44"/>
      <c r="D736" s="45"/>
      <c r="E736" s="46"/>
      <c r="F736" s="47"/>
      <c r="G736" s="48"/>
      <c r="H736" s="46"/>
      <c r="I736" s="47"/>
      <c r="J736" s="48"/>
      <c r="K736" s="46" t="s">
        <v>1927</v>
      </c>
      <c r="L736" s="47" t="s">
        <v>2843</v>
      </c>
      <c r="M736" s="48">
        <v>4.9000000000000004</v>
      </c>
      <c r="N736" s="46" t="s">
        <v>1927</v>
      </c>
      <c r="O736" s="47" t="s">
        <v>2843</v>
      </c>
      <c r="P736" s="48">
        <v>6.1</v>
      </c>
      <c r="Q736" s="46" t="s">
        <v>1927</v>
      </c>
      <c r="R736" s="47" t="s">
        <v>1928</v>
      </c>
      <c r="S736" s="48">
        <v>6.8</v>
      </c>
      <c r="T736" s="46" t="s">
        <v>1927</v>
      </c>
      <c r="U736" s="47" t="s">
        <v>1928</v>
      </c>
      <c r="V736" s="48">
        <v>7.6</v>
      </c>
      <c r="W736" s="46" t="s">
        <v>1929</v>
      </c>
      <c r="X736" s="47" t="s">
        <v>2844</v>
      </c>
      <c r="Y736" s="48">
        <v>7.9</v>
      </c>
      <c r="Z736" s="49" t="s">
        <v>1393</v>
      </c>
      <c r="AA736" s="50" t="s">
        <v>1930</v>
      </c>
      <c r="AB736" s="51">
        <v>13.4</v>
      </c>
    </row>
    <row r="737" spans="1:28" ht="13.5" customHeight="1">
      <c r="A737" s="27"/>
      <c r="B737" s="144"/>
      <c r="C737" s="44"/>
      <c r="D737" s="45"/>
      <c r="E737" s="46"/>
      <c r="F737" s="47"/>
      <c r="G737" s="48"/>
      <c r="H737" s="46"/>
      <c r="I737" s="47"/>
      <c r="J737" s="48"/>
      <c r="K737" s="46"/>
      <c r="L737" s="47"/>
      <c r="M737" s="48"/>
      <c r="N737" s="46"/>
      <c r="O737" s="47"/>
      <c r="P737" s="48"/>
      <c r="Q737" s="46"/>
      <c r="R737" s="47"/>
      <c r="S737" s="48"/>
      <c r="T737" s="46"/>
      <c r="U737" s="47"/>
      <c r="V737" s="48"/>
      <c r="W737" s="46"/>
      <c r="X737" s="47"/>
      <c r="Y737" s="48"/>
      <c r="Z737" s="49"/>
      <c r="AA737" s="50"/>
      <c r="AB737" s="51"/>
    </row>
    <row r="738" spans="1:28" ht="13.5" customHeight="1">
      <c r="A738" s="27"/>
      <c r="B738" s="144"/>
      <c r="C738" s="114"/>
      <c r="D738" s="140"/>
      <c r="E738" s="46"/>
      <c r="F738" s="75"/>
      <c r="G738" s="48"/>
      <c r="H738" s="46"/>
      <c r="I738" s="75"/>
      <c r="J738" s="48"/>
      <c r="K738" s="46"/>
      <c r="L738" s="75"/>
      <c r="M738" s="48"/>
      <c r="N738" s="46"/>
      <c r="O738" s="75"/>
      <c r="P738" s="48"/>
      <c r="Q738" s="76"/>
      <c r="R738" s="75"/>
      <c r="S738" s="77"/>
      <c r="T738" s="76"/>
      <c r="U738" s="75"/>
      <c r="V738" s="77"/>
      <c r="W738" s="76"/>
      <c r="X738" s="75"/>
      <c r="Y738" s="77"/>
      <c r="Z738" s="78"/>
      <c r="AA738" s="79"/>
      <c r="AB738" s="80"/>
    </row>
    <row r="739" spans="1:28" ht="13.5" customHeight="1">
      <c r="A739" s="27"/>
      <c r="B739" s="36" t="s">
        <v>1931</v>
      </c>
      <c r="C739" s="21"/>
      <c r="D739" s="6" t="s">
        <v>1932</v>
      </c>
      <c r="E739" s="31" t="s">
        <v>1933</v>
      </c>
      <c r="F739" s="207"/>
      <c r="G739" s="33">
        <f>G740</f>
        <v>13.1</v>
      </c>
      <c r="H739" s="31" t="s">
        <v>1933</v>
      </c>
      <c r="I739" s="207"/>
      <c r="J739" s="33">
        <f>J740</f>
        <v>15.9</v>
      </c>
      <c r="K739" s="31" t="s">
        <v>1933</v>
      </c>
      <c r="L739" s="207"/>
      <c r="M739" s="33">
        <f>M740</f>
        <v>20.200000000000003</v>
      </c>
      <c r="N739" s="31" t="s">
        <v>1933</v>
      </c>
      <c r="O739" s="207"/>
      <c r="P739" s="33">
        <f>P740</f>
        <v>19.599999999999998</v>
      </c>
      <c r="Q739" s="31" t="s">
        <v>1933</v>
      </c>
      <c r="R739" s="207"/>
      <c r="S739" s="33">
        <f>S740</f>
        <v>21.8</v>
      </c>
      <c r="T739" s="31" t="s">
        <v>1933</v>
      </c>
      <c r="U739" s="207"/>
      <c r="V739" s="33">
        <f>V740</f>
        <v>26.700000000000003</v>
      </c>
      <c r="W739" s="208"/>
      <c r="X739" s="207"/>
      <c r="Y739" s="33">
        <f>Y740</f>
        <v>26.1</v>
      </c>
      <c r="Z739" s="65"/>
      <c r="AA739" s="66"/>
      <c r="AB739" s="33">
        <f>AB740</f>
        <v>26.6</v>
      </c>
    </row>
    <row r="740" spans="1:28" ht="13.5" customHeight="1">
      <c r="A740" s="27"/>
      <c r="B740" s="144"/>
      <c r="C740" s="86" t="s">
        <v>1934</v>
      </c>
      <c r="D740" s="30" t="s">
        <v>1932</v>
      </c>
      <c r="E740" s="37" t="s">
        <v>1935</v>
      </c>
      <c r="F740" s="41"/>
      <c r="G740" s="39">
        <f>SUM(G741:G745)</f>
        <v>13.1</v>
      </c>
      <c r="H740" s="37" t="s">
        <v>1935</v>
      </c>
      <c r="I740" s="41"/>
      <c r="J740" s="39">
        <f>SUM(J741:J745)</f>
        <v>15.9</v>
      </c>
      <c r="K740" s="37" t="s">
        <v>1935</v>
      </c>
      <c r="L740" s="41"/>
      <c r="M740" s="39">
        <f>SUM(M741:M745)</f>
        <v>20.200000000000003</v>
      </c>
      <c r="N740" s="37" t="s">
        <v>1935</v>
      </c>
      <c r="O740" s="41"/>
      <c r="P740" s="39">
        <f>SUM(P741:P745)</f>
        <v>19.599999999999998</v>
      </c>
      <c r="Q740" s="37" t="s">
        <v>1935</v>
      </c>
      <c r="R740" s="41"/>
      <c r="S740" s="39">
        <f>SUM(S741:S745)</f>
        <v>21.8</v>
      </c>
      <c r="T740" s="37" t="s">
        <v>1935</v>
      </c>
      <c r="U740" s="41"/>
      <c r="V740" s="39">
        <f>SUM(V741:V745)</f>
        <v>26.700000000000003</v>
      </c>
      <c r="W740" s="40"/>
      <c r="X740" s="41"/>
      <c r="Y740" s="39">
        <f>SUM(Y741:Y745)</f>
        <v>26.1</v>
      </c>
      <c r="Z740" s="42"/>
      <c r="AA740" s="43"/>
      <c r="AB740" s="39">
        <f>SUM(AB741:AB745)</f>
        <v>26.6</v>
      </c>
    </row>
    <row r="741" spans="1:28" ht="13.5" customHeight="1">
      <c r="A741" s="27"/>
      <c r="B741" s="144"/>
      <c r="C741" s="21"/>
      <c r="D741" s="45"/>
      <c r="E741" s="46" t="s">
        <v>1936</v>
      </c>
      <c r="F741" s="47" t="s">
        <v>2845</v>
      </c>
      <c r="G741" s="48">
        <v>1.1000000000000001</v>
      </c>
      <c r="H741" s="46" t="s">
        <v>1936</v>
      </c>
      <c r="I741" s="47" t="s">
        <v>2845</v>
      </c>
      <c r="J741" s="48">
        <v>1.5</v>
      </c>
      <c r="K741" s="46" t="s">
        <v>1936</v>
      </c>
      <c r="L741" s="47" t="s">
        <v>2845</v>
      </c>
      <c r="M741" s="48">
        <v>2.7</v>
      </c>
      <c r="N741" s="46" t="s">
        <v>1936</v>
      </c>
      <c r="O741" s="47" t="s">
        <v>2845</v>
      </c>
      <c r="P741" s="48">
        <v>2.9</v>
      </c>
      <c r="Q741" s="55" t="s">
        <v>1936</v>
      </c>
      <c r="R741" s="47" t="s">
        <v>1937</v>
      </c>
      <c r="S741" s="48">
        <v>4</v>
      </c>
      <c r="T741" s="55" t="s">
        <v>1936</v>
      </c>
      <c r="U741" s="47" t="s">
        <v>1937</v>
      </c>
      <c r="V741" s="48">
        <v>5.7</v>
      </c>
      <c r="W741" s="55" t="s">
        <v>1938</v>
      </c>
      <c r="X741" s="47" t="s">
        <v>2846</v>
      </c>
      <c r="Y741" s="48">
        <v>5.3</v>
      </c>
      <c r="Z741" s="49" t="s">
        <v>1385</v>
      </c>
      <c r="AA741" s="50" t="s">
        <v>1939</v>
      </c>
      <c r="AB741" s="51">
        <v>6.1</v>
      </c>
    </row>
    <row r="742" spans="1:28" ht="13.5" customHeight="1">
      <c r="A742" s="27"/>
      <c r="B742" s="138"/>
      <c r="C742" s="20"/>
      <c r="D742" s="6"/>
      <c r="E742" s="46" t="s">
        <v>1940</v>
      </c>
      <c r="F742" s="113" t="s">
        <v>2847</v>
      </c>
      <c r="G742" s="48">
        <v>0.4</v>
      </c>
      <c r="H742" s="46" t="s">
        <v>1940</v>
      </c>
      <c r="I742" s="113" t="s">
        <v>2847</v>
      </c>
      <c r="J742" s="48">
        <v>0.4</v>
      </c>
      <c r="K742" s="46" t="s">
        <v>1940</v>
      </c>
      <c r="L742" s="113" t="s">
        <v>2847</v>
      </c>
      <c r="M742" s="48">
        <v>0.5</v>
      </c>
      <c r="N742" s="46" t="s">
        <v>1940</v>
      </c>
      <c r="O742" s="113" t="s">
        <v>2847</v>
      </c>
      <c r="P742" s="48">
        <v>0.5</v>
      </c>
      <c r="Q742" s="55" t="s">
        <v>1940</v>
      </c>
      <c r="R742" s="113" t="s">
        <v>1941</v>
      </c>
      <c r="S742" s="48">
        <v>0.3</v>
      </c>
      <c r="T742" s="55" t="s">
        <v>1940</v>
      </c>
      <c r="U742" s="113" t="s">
        <v>1941</v>
      </c>
      <c r="V742" s="48">
        <v>0.4</v>
      </c>
      <c r="W742" s="55" t="s">
        <v>639</v>
      </c>
      <c r="X742" s="113" t="s">
        <v>2848</v>
      </c>
      <c r="Y742" s="48">
        <v>3.5</v>
      </c>
      <c r="Z742" s="49" t="s">
        <v>1381</v>
      </c>
      <c r="AA742" s="50" t="s">
        <v>1942</v>
      </c>
      <c r="AB742" s="51">
        <v>2.9</v>
      </c>
    </row>
    <row r="743" spans="1:28" ht="13.5" customHeight="1">
      <c r="A743" s="27"/>
      <c r="B743" s="44"/>
      <c r="C743" s="36"/>
      <c r="D743" s="6"/>
      <c r="E743" s="46" t="s">
        <v>1943</v>
      </c>
      <c r="F743" s="47" t="s">
        <v>2849</v>
      </c>
      <c r="G743" s="48">
        <v>8.6</v>
      </c>
      <c r="H743" s="46" t="s">
        <v>1943</v>
      </c>
      <c r="I743" s="47" t="s">
        <v>2849</v>
      </c>
      <c r="J743" s="48">
        <v>10.8</v>
      </c>
      <c r="K743" s="46" t="s">
        <v>1943</v>
      </c>
      <c r="L743" s="47" t="s">
        <v>2849</v>
      </c>
      <c r="M743" s="48">
        <v>13.1</v>
      </c>
      <c r="N743" s="46" t="s">
        <v>1943</v>
      </c>
      <c r="O743" s="47" t="s">
        <v>2849</v>
      </c>
      <c r="P743" s="48">
        <v>12.7</v>
      </c>
      <c r="Q743" s="55" t="s">
        <v>1943</v>
      </c>
      <c r="R743" s="47" t="s">
        <v>1944</v>
      </c>
      <c r="S743" s="48">
        <v>14.3</v>
      </c>
      <c r="T743" s="55" t="s">
        <v>1943</v>
      </c>
      <c r="U743" s="47" t="s">
        <v>1944</v>
      </c>
      <c r="V743" s="48">
        <v>16.2</v>
      </c>
      <c r="W743" s="55" t="s">
        <v>635</v>
      </c>
      <c r="X743" s="47" t="s">
        <v>2850</v>
      </c>
      <c r="Y743" s="48">
        <v>15.4</v>
      </c>
      <c r="Z743" s="49" t="s">
        <v>1377</v>
      </c>
      <c r="AA743" s="50" t="s">
        <v>1945</v>
      </c>
      <c r="AB743" s="51">
        <v>15</v>
      </c>
    </row>
    <row r="744" spans="1:28" ht="13.5" customHeight="1">
      <c r="A744" s="27"/>
      <c r="B744" s="44"/>
      <c r="C744" s="44"/>
      <c r="D744" s="6"/>
      <c r="E744" s="46" t="s">
        <v>1946</v>
      </c>
      <c r="F744" s="47" t="s">
        <v>2851</v>
      </c>
      <c r="G744" s="48">
        <v>1.4</v>
      </c>
      <c r="H744" s="46" t="s">
        <v>1946</v>
      </c>
      <c r="I744" s="47" t="s">
        <v>2851</v>
      </c>
      <c r="J744" s="48">
        <v>1.7</v>
      </c>
      <c r="K744" s="46" t="s">
        <v>1946</v>
      </c>
      <c r="L744" s="47" t="s">
        <v>2851</v>
      </c>
      <c r="M744" s="48">
        <v>2.1</v>
      </c>
      <c r="N744" s="46" t="s">
        <v>1946</v>
      </c>
      <c r="O744" s="47" t="s">
        <v>2851</v>
      </c>
      <c r="P744" s="48">
        <v>2</v>
      </c>
      <c r="Q744" s="55" t="s">
        <v>1946</v>
      </c>
      <c r="R744" s="47" t="s">
        <v>1947</v>
      </c>
      <c r="S744" s="48">
        <v>2.2000000000000002</v>
      </c>
      <c r="T744" s="55" t="s">
        <v>1946</v>
      </c>
      <c r="U744" s="47" t="s">
        <v>1947</v>
      </c>
      <c r="V744" s="48">
        <v>2.8</v>
      </c>
      <c r="W744" s="55" t="s">
        <v>1948</v>
      </c>
      <c r="X744" s="47" t="s">
        <v>2852</v>
      </c>
      <c r="Y744" s="48">
        <v>0.4</v>
      </c>
      <c r="Z744" s="49" t="s">
        <v>1389</v>
      </c>
      <c r="AA744" s="50" t="s">
        <v>1949</v>
      </c>
      <c r="AB744" s="51">
        <v>2.6</v>
      </c>
    </row>
    <row r="745" spans="1:28" ht="13.5" customHeight="1">
      <c r="A745" s="27"/>
      <c r="B745" s="161"/>
      <c r="C745" s="114"/>
      <c r="D745" s="83"/>
      <c r="E745" s="46" t="s">
        <v>1950</v>
      </c>
      <c r="F745" s="75" t="s">
        <v>2853</v>
      </c>
      <c r="G745" s="48">
        <v>1.6</v>
      </c>
      <c r="H745" s="46" t="s">
        <v>1950</v>
      </c>
      <c r="I745" s="75" t="s">
        <v>2853</v>
      </c>
      <c r="J745" s="48">
        <v>1.5</v>
      </c>
      <c r="K745" s="46" t="s">
        <v>1950</v>
      </c>
      <c r="L745" s="75" t="s">
        <v>2853</v>
      </c>
      <c r="M745" s="48">
        <v>1.8</v>
      </c>
      <c r="N745" s="46" t="s">
        <v>1950</v>
      </c>
      <c r="O745" s="75" t="s">
        <v>2853</v>
      </c>
      <c r="P745" s="48">
        <v>1.5</v>
      </c>
      <c r="Q745" s="116" t="s">
        <v>1950</v>
      </c>
      <c r="R745" s="75" t="s">
        <v>1951</v>
      </c>
      <c r="S745" s="77">
        <v>1</v>
      </c>
      <c r="T745" s="116" t="s">
        <v>1950</v>
      </c>
      <c r="U745" s="75" t="s">
        <v>1951</v>
      </c>
      <c r="V745" s="77">
        <v>1.6</v>
      </c>
      <c r="W745" s="116" t="s">
        <v>1952</v>
      </c>
      <c r="X745" s="75" t="s">
        <v>2854</v>
      </c>
      <c r="Y745" s="77">
        <v>1.5</v>
      </c>
      <c r="Z745" s="78"/>
      <c r="AA745" s="79"/>
      <c r="AB745" s="80"/>
    </row>
    <row r="746" spans="1:28" ht="13.5" customHeight="1">
      <c r="A746" s="27"/>
      <c r="B746" s="36" t="s">
        <v>1953</v>
      </c>
      <c r="C746" s="21"/>
      <c r="D746" s="6" t="s">
        <v>1954</v>
      </c>
      <c r="E746" s="31" t="s">
        <v>1955</v>
      </c>
      <c r="F746" s="185"/>
      <c r="G746" s="33">
        <f>G747+G762</f>
        <v>59.000000000000014</v>
      </c>
      <c r="H746" s="31" t="s">
        <v>1955</v>
      </c>
      <c r="I746" s="185"/>
      <c r="J746" s="33">
        <f>J747+J762</f>
        <v>52.499999999999993</v>
      </c>
      <c r="K746" s="31" t="s">
        <v>1955</v>
      </c>
      <c r="L746" s="185"/>
      <c r="M746" s="33">
        <f>M747+M762</f>
        <v>61.300000000000004</v>
      </c>
      <c r="N746" s="31" t="s">
        <v>1955</v>
      </c>
      <c r="O746" s="185"/>
      <c r="P746" s="33">
        <f>P747+P762</f>
        <v>67.7</v>
      </c>
      <c r="Q746" s="31" t="s">
        <v>1955</v>
      </c>
      <c r="R746" s="185"/>
      <c r="S746" s="33">
        <f>S747+S762</f>
        <v>70</v>
      </c>
      <c r="T746" s="31" t="s">
        <v>1955</v>
      </c>
      <c r="U746" s="185"/>
      <c r="V746" s="33">
        <f>V747+V762</f>
        <v>72.900000000000006</v>
      </c>
      <c r="W746" s="162"/>
      <c r="X746" s="185"/>
      <c r="Y746" s="33">
        <f>Y747+Y762</f>
        <v>69.5</v>
      </c>
      <c r="Z746" s="120"/>
      <c r="AA746" s="121"/>
      <c r="AB746" s="33">
        <f>AB747+AB762</f>
        <v>60.699999999999996</v>
      </c>
    </row>
    <row r="747" spans="1:28" ht="13.5" customHeight="1">
      <c r="A747" s="27"/>
      <c r="B747" s="36"/>
      <c r="C747" s="136" t="s">
        <v>1956</v>
      </c>
      <c r="D747" s="137" t="s">
        <v>1957</v>
      </c>
      <c r="E747" s="37" t="s">
        <v>1958</v>
      </c>
      <c r="F747" s="169"/>
      <c r="G747" s="39">
        <f>SUM(G748:G761)</f>
        <v>52.800000000000011</v>
      </c>
      <c r="H747" s="37" t="s">
        <v>1958</v>
      </c>
      <c r="I747" s="169"/>
      <c r="J747" s="39">
        <f>SUM(J748:J761)</f>
        <v>47.999999999999993</v>
      </c>
      <c r="K747" s="37" t="s">
        <v>1958</v>
      </c>
      <c r="L747" s="169"/>
      <c r="M747" s="39">
        <f>SUM(M748:M761)</f>
        <v>57.7</v>
      </c>
      <c r="N747" s="37" t="s">
        <v>1958</v>
      </c>
      <c r="O747" s="169"/>
      <c r="P747" s="39">
        <f>SUM(P748:P761)</f>
        <v>63.400000000000006</v>
      </c>
      <c r="Q747" s="37" t="s">
        <v>1958</v>
      </c>
      <c r="R747" s="169"/>
      <c r="S747" s="39">
        <f>SUM(S748:S761)</f>
        <v>65.2</v>
      </c>
      <c r="T747" s="37" t="s">
        <v>1958</v>
      </c>
      <c r="U747" s="169"/>
      <c r="V747" s="39">
        <f>SUM(V748:V761)</f>
        <v>68.100000000000009</v>
      </c>
      <c r="W747" s="72"/>
      <c r="X747" s="169"/>
      <c r="Y747" s="39">
        <f>SUM(Y748:Y761)</f>
        <v>64.599999999999994</v>
      </c>
      <c r="Z747" s="42"/>
      <c r="AA747" s="43"/>
      <c r="AB747" s="39">
        <f>SUM(AB748:AB761)</f>
        <v>56.099999999999994</v>
      </c>
    </row>
    <row r="748" spans="1:28" ht="13.5" customHeight="1">
      <c r="A748" s="27"/>
      <c r="B748" s="138"/>
      <c r="C748" s="21"/>
      <c r="D748" s="45"/>
      <c r="E748" s="46" t="s">
        <v>1959</v>
      </c>
      <c r="F748" s="47" t="s">
        <v>2986</v>
      </c>
      <c r="G748" s="48">
        <v>13.8</v>
      </c>
      <c r="H748" s="46" t="s">
        <v>1959</v>
      </c>
      <c r="I748" s="47" t="s">
        <v>2986</v>
      </c>
      <c r="J748" s="48">
        <v>13.5</v>
      </c>
      <c r="K748" s="46" t="s">
        <v>1959</v>
      </c>
      <c r="L748" s="47" t="s">
        <v>2855</v>
      </c>
      <c r="M748" s="48">
        <v>14</v>
      </c>
      <c r="N748" s="46" t="s">
        <v>1959</v>
      </c>
      <c r="O748" s="47" t="s">
        <v>2855</v>
      </c>
      <c r="P748" s="48">
        <v>13.6</v>
      </c>
      <c r="Q748" s="46" t="s">
        <v>1959</v>
      </c>
      <c r="R748" s="47" t="s">
        <v>1960</v>
      </c>
      <c r="S748" s="48">
        <v>13.3</v>
      </c>
      <c r="T748" s="46" t="s">
        <v>1959</v>
      </c>
      <c r="U748" s="47" t="s">
        <v>1960</v>
      </c>
      <c r="V748" s="48">
        <v>12.9</v>
      </c>
      <c r="W748" s="46" t="s">
        <v>1961</v>
      </c>
      <c r="X748" s="47" t="s">
        <v>2856</v>
      </c>
      <c r="Y748" s="48">
        <v>7.8</v>
      </c>
      <c r="Z748" s="49" t="s">
        <v>1962</v>
      </c>
      <c r="AA748" s="50" t="s">
        <v>1963</v>
      </c>
      <c r="AB748" s="51">
        <v>8.4</v>
      </c>
    </row>
    <row r="749" spans="1:28" ht="13.5" customHeight="1">
      <c r="A749" s="27"/>
      <c r="B749" s="138"/>
      <c r="C749" s="20"/>
      <c r="D749" s="6"/>
      <c r="E749" s="46"/>
      <c r="F749" s="47"/>
      <c r="G749" s="48"/>
      <c r="H749" s="46"/>
      <c r="I749" s="47"/>
      <c r="J749" s="48"/>
      <c r="K749" s="46"/>
      <c r="L749" s="47"/>
      <c r="M749" s="48"/>
      <c r="N749" s="46"/>
      <c r="O749" s="47"/>
      <c r="P749" s="48"/>
      <c r="Q749" s="46"/>
      <c r="R749" s="47"/>
      <c r="S749" s="48"/>
      <c r="T749" s="46"/>
      <c r="U749" s="47"/>
      <c r="V749" s="48"/>
      <c r="W749" s="46" t="s">
        <v>1964</v>
      </c>
      <c r="X749" s="113" t="s">
        <v>2857</v>
      </c>
      <c r="Y749" s="48">
        <v>7.9</v>
      </c>
      <c r="Z749" s="49" t="s">
        <v>1965</v>
      </c>
      <c r="AA749" s="50" t="s">
        <v>1966</v>
      </c>
      <c r="AB749" s="51">
        <v>13.4</v>
      </c>
    </row>
    <row r="750" spans="1:28" ht="13.5" customHeight="1">
      <c r="A750" s="27"/>
      <c r="B750" s="144"/>
      <c r="C750" s="21"/>
      <c r="D750" s="45"/>
      <c r="E750" s="46" t="s">
        <v>1967</v>
      </c>
      <c r="F750" s="47" t="s">
        <v>2987</v>
      </c>
      <c r="G750" s="48">
        <v>13.8</v>
      </c>
      <c r="H750" s="46" t="s">
        <v>1967</v>
      </c>
      <c r="I750" s="47" t="s">
        <v>2987</v>
      </c>
      <c r="J750" s="48">
        <v>12.8</v>
      </c>
      <c r="K750" s="46" t="s">
        <v>1967</v>
      </c>
      <c r="L750" s="47" t="s">
        <v>2858</v>
      </c>
      <c r="M750" s="48">
        <v>15.9</v>
      </c>
      <c r="N750" s="46" t="s">
        <v>1967</v>
      </c>
      <c r="O750" s="47" t="s">
        <v>2858</v>
      </c>
      <c r="P750" s="48">
        <v>18</v>
      </c>
      <c r="Q750" s="46" t="s">
        <v>1967</v>
      </c>
      <c r="R750" s="47" t="s">
        <v>1968</v>
      </c>
      <c r="S750" s="48">
        <v>19.3</v>
      </c>
      <c r="T750" s="46" t="s">
        <v>1967</v>
      </c>
      <c r="U750" s="47" t="s">
        <v>1968</v>
      </c>
      <c r="V750" s="48">
        <v>19.2</v>
      </c>
      <c r="W750" s="46" t="s">
        <v>1969</v>
      </c>
      <c r="X750" s="47" t="s">
        <v>2859</v>
      </c>
      <c r="Y750" s="48">
        <v>7.8</v>
      </c>
      <c r="Z750" s="49"/>
      <c r="AA750" s="50"/>
      <c r="AB750" s="51"/>
    </row>
    <row r="751" spans="1:28" ht="13.5" customHeight="1">
      <c r="A751" s="27"/>
      <c r="B751" s="44"/>
      <c r="C751" s="36"/>
      <c r="D751" s="6"/>
      <c r="E751" s="46"/>
      <c r="F751" s="47"/>
      <c r="G751" s="48"/>
      <c r="H751" s="46"/>
      <c r="I751" s="47"/>
      <c r="J751" s="48"/>
      <c r="K751" s="46"/>
      <c r="L751" s="47"/>
      <c r="M751" s="48"/>
      <c r="N751" s="46"/>
      <c r="O751" s="47"/>
      <c r="P751" s="48"/>
      <c r="Q751" s="46"/>
      <c r="R751" s="47"/>
      <c r="S751" s="48"/>
      <c r="T751" s="46"/>
      <c r="U751" s="47"/>
      <c r="V751" s="48"/>
      <c r="W751" s="46" t="s">
        <v>1970</v>
      </c>
      <c r="X751" s="47" t="s">
        <v>2860</v>
      </c>
      <c r="Y751" s="48">
        <v>7.9</v>
      </c>
      <c r="Z751" s="49"/>
      <c r="AA751" s="50"/>
      <c r="AB751" s="51"/>
    </row>
    <row r="752" spans="1:28" ht="13.5" customHeight="1">
      <c r="A752" s="27"/>
      <c r="B752" s="44"/>
      <c r="C752" s="36"/>
      <c r="D752" s="6"/>
      <c r="E752" s="46" t="s">
        <v>1971</v>
      </c>
      <c r="F752" s="47" t="s">
        <v>2988</v>
      </c>
      <c r="G752" s="48">
        <v>7.6</v>
      </c>
      <c r="H752" s="46" t="s">
        <v>1971</v>
      </c>
      <c r="I752" s="47" t="s">
        <v>2988</v>
      </c>
      <c r="J752" s="48">
        <v>6</v>
      </c>
      <c r="K752" s="46" t="s">
        <v>1971</v>
      </c>
      <c r="L752" s="47" t="s">
        <v>2861</v>
      </c>
      <c r="M752" s="48">
        <v>7.7</v>
      </c>
      <c r="N752" s="46" t="s">
        <v>1971</v>
      </c>
      <c r="O752" s="47" t="s">
        <v>2861</v>
      </c>
      <c r="P752" s="48">
        <v>9.1999999999999993</v>
      </c>
      <c r="Q752" s="46" t="s">
        <v>1971</v>
      </c>
      <c r="R752" s="47" t="s">
        <v>1972</v>
      </c>
      <c r="S752" s="48">
        <v>10.9</v>
      </c>
      <c r="T752" s="46" t="s">
        <v>1971</v>
      </c>
      <c r="U752" s="47" t="s">
        <v>1972</v>
      </c>
      <c r="V752" s="48">
        <v>12.7</v>
      </c>
      <c r="W752" s="46" t="s">
        <v>1973</v>
      </c>
      <c r="X752" s="47" t="s">
        <v>2862</v>
      </c>
      <c r="Y752" s="48">
        <v>5.9</v>
      </c>
      <c r="Z752" s="49" t="s">
        <v>1974</v>
      </c>
      <c r="AA752" s="50" t="s">
        <v>1975</v>
      </c>
      <c r="AB752" s="51">
        <v>5.8</v>
      </c>
    </row>
    <row r="753" spans="1:28" ht="13.5" customHeight="1">
      <c r="A753" s="27"/>
      <c r="B753" s="44"/>
      <c r="C753" s="36"/>
      <c r="D753" s="6"/>
      <c r="E753" s="46" t="s">
        <v>1977</v>
      </c>
      <c r="F753" s="47" t="s">
        <v>1976</v>
      </c>
      <c r="G753" s="48">
        <v>0.7</v>
      </c>
      <c r="H753" s="46" t="s">
        <v>1977</v>
      </c>
      <c r="I753" s="47" t="s">
        <v>1976</v>
      </c>
      <c r="J753" s="48">
        <v>0.4</v>
      </c>
      <c r="K753" s="46" t="s">
        <v>1977</v>
      </c>
      <c r="L753" s="47" t="s">
        <v>1976</v>
      </c>
      <c r="M753" s="48">
        <v>0.4</v>
      </c>
      <c r="N753" s="46" t="s">
        <v>1977</v>
      </c>
      <c r="O753" s="47" t="s">
        <v>1976</v>
      </c>
      <c r="P753" s="48">
        <v>0.2</v>
      </c>
      <c r="Q753" s="46" t="s">
        <v>1977</v>
      </c>
      <c r="R753" s="47" t="s">
        <v>1976</v>
      </c>
      <c r="S753" s="48">
        <v>0.2</v>
      </c>
      <c r="T753" s="46" t="s">
        <v>1977</v>
      </c>
      <c r="U753" s="47" t="s">
        <v>1976</v>
      </c>
      <c r="V753" s="48">
        <v>0.1</v>
      </c>
      <c r="W753" s="46" t="s">
        <v>2863</v>
      </c>
      <c r="X753" s="47" t="s">
        <v>2864</v>
      </c>
      <c r="Y753" s="48">
        <v>2.1</v>
      </c>
      <c r="Z753" s="49"/>
      <c r="AA753" s="50"/>
      <c r="AB753" s="51"/>
    </row>
    <row r="754" spans="1:28" ht="13.5" customHeight="1">
      <c r="A754" s="27"/>
      <c r="B754" s="44"/>
      <c r="C754" s="36"/>
      <c r="D754" s="6"/>
      <c r="E754" s="46" t="s">
        <v>1979</v>
      </c>
      <c r="F754" s="47" t="s">
        <v>1978</v>
      </c>
      <c r="G754" s="48">
        <v>3</v>
      </c>
      <c r="H754" s="46" t="s">
        <v>1979</v>
      </c>
      <c r="I754" s="47" t="s">
        <v>1978</v>
      </c>
      <c r="J754" s="48">
        <v>3</v>
      </c>
      <c r="K754" s="46" t="s">
        <v>1979</v>
      </c>
      <c r="L754" s="47" t="s">
        <v>1978</v>
      </c>
      <c r="M754" s="48">
        <v>3.9</v>
      </c>
      <c r="N754" s="46" t="s">
        <v>1979</v>
      </c>
      <c r="O754" s="47" t="s">
        <v>1978</v>
      </c>
      <c r="P754" s="48">
        <v>3.9</v>
      </c>
      <c r="Q754" s="46" t="s">
        <v>1979</v>
      </c>
      <c r="R754" s="47" t="s">
        <v>1978</v>
      </c>
      <c r="S754" s="48">
        <v>4.5999999999999996</v>
      </c>
      <c r="T754" s="46" t="s">
        <v>1979</v>
      </c>
      <c r="U754" s="47" t="s">
        <v>1978</v>
      </c>
      <c r="V754" s="48">
        <v>4.5999999999999996</v>
      </c>
      <c r="W754" s="46" t="s">
        <v>1980</v>
      </c>
      <c r="X754" s="47" t="s">
        <v>2865</v>
      </c>
      <c r="Y754" s="48">
        <v>4.8</v>
      </c>
      <c r="Z754" s="49" t="s">
        <v>1981</v>
      </c>
      <c r="AA754" s="50" t="s">
        <v>1982</v>
      </c>
      <c r="AB754" s="51">
        <v>6.5</v>
      </c>
    </row>
    <row r="755" spans="1:28" ht="13.5" customHeight="1">
      <c r="A755" s="27"/>
      <c r="B755" s="44"/>
      <c r="C755" s="36"/>
      <c r="D755" s="6"/>
      <c r="E755" s="46" t="s">
        <v>1984</v>
      </c>
      <c r="F755" s="47" t="s">
        <v>1983</v>
      </c>
      <c r="G755" s="48">
        <v>2.6</v>
      </c>
      <c r="H755" s="46" t="s">
        <v>1984</v>
      </c>
      <c r="I755" s="47" t="s">
        <v>1983</v>
      </c>
      <c r="J755" s="48">
        <v>2</v>
      </c>
      <c r="K755" s="46" t="s">
        <v>1984</v>
      </c>
      <c r="L755" s="47" t="s">
        <v>1983</v>
      </c>
      <c r="M755" s="48">
        <v>2</v>
      </c>
      <c r="N755" s="46" t="s">
        <v>1984</v>
      </c>
      <c r="O755" s="47" t="s">
        <v>1983</v>
      </c>
      <c r="P755" s="48">
        <v>1.9</v>
      </c>
      <c r="Q755" s="46" t="s">
        <v>1984</v>
      </c>
      <c r="R755" s="47" t="s">
        <v>1983</v>
      </c>
      <c r="S755" s="48">
        <v>1.7</v>
      </c>
      <c r="T755" s="46" t="s">
        <v>1984</v>
      </c>
      <c r="U755" s="47" t="s">
        <v>1983</v>
      </c>
      <c r="V755" s="48">
        <v>2.1</v>
      </c>
      <c r="W755" s="46" t="s">
        <v>1985</v>
      </c>
      <c r="X755" s="47" t="s">
        <v>2866</v>
      </c>
      <c r="Y755" s="48">
        <v>3.1</v>
      </c>
      <c r="Z755" s="49" t="s">
        <v>1986</v>
      </c>
      <c r="AA755" s="50" t="s">
        <v>1983</v>
      </c>
      <c r="AB755" s="51">
        <v>5.3</v>
      </c>
    </row>
    <row r="756" spans="1:28" ht="13.5" customHeight="1">
      <c r="A756" s="27"/>
      <c r="B756" s="44"/>
      <c r="C756" s="36"/>
      <c r="D756" s="6"/>
      <c r="E756" s="46"/>
      <c r="F756" s="47"/>
      <c r="G756" s="48"/>
      <c r="H756" s="46"/>
      <c r="I756" s="47"/>
      <c r="J756" s="48"/>
      <c r="K756" s="46"/>
      <c r="L756" s="47"/>
      <c r="M756" s="48"/>
      <c r="N756" s="46"/>
      <c r="O756" s="47"/>
      <c r="P756" s="48"/>
      <c r="Q756" s="46"/>
      <c r="R756" s="47"/>
      <c r="S756" s="48"/>
      <c r="T756" s="46"/>
      <c r="U756" s="47"/>
      <c r="V756" s="48"/>
      <c r="W756" s="46"/>
      <c r="X756" s="47"/>
      <c r="Y756" s="48"/>
      <c r="Z756" s="49"/>
      <c r="AA756" s="50"/>
      <c r="AB756" s="51"/>
    </row>
    <row r="757" spans="1:28" ht="13.5" customHeight="1">
      <c r="A757" s="27"/>
      <c r="B757" s="44"/>
      <c r="C757" s="36"/>
      <c r="D757" s="6"/>
      <c r="E757" s="46" t="s">
        <v>1988</v>
      </c>
      <c r="F757" s="47" t="s">
        <v>1987</v>
      </c>
      <c r="G757" s="48">
        <v>5.7</v>
      </c>
      <c r="H757" s="46" t="s">
        <v>1988</v>
      </c>
      <c r="I757" s="47" t="s">
        <v>1987</v>
      </c>
      <c r="J757" s="48">
        <v>4.5</v>
      </c>
      <c r="K757" s="46" t="s">
        <v>1988</v>
      </c>
      <c r="L757" s="47" t="s">
        <v>1987</v>
      </c>
      <c r="M757" s="48">
        <v>5.7</v>
      </c>
      <c r="N757" s="46" t="s">
        <v>1988</v>
      </c>
      <c r="O757" s="47" t="s">
        <v>1987</v>
      </c>
      <c r="P757" s="48">
        <v>6.1</v>
      </c>
      <c r="Q757" s="46" t="s">
        <v>1988</v>
      </c>
      <c r="R757" s="47" t="s">
        <v>1987</v>
      </c>
      <c r="S757" s="48">
        <v>4.4000000000000004</v>
      </c>
      <c r="T757" s="46" t="s">
        <v>1988</v>
      </c>
      <c r="U757" s="47" t="s">
        <v>1987</v>
      </c>
      <c r="V757" s="48">
        <v>4.4000000000000004</v>
      </c>
      <c r="W757" s="46" t="s">
        <v>1989</v>
      </c>
      <c r="X757" s="47" t="s">
        <v>2867</v>
      </c>
      <c r="Y757" s="48">
        <v>2.1</v>
      </c>
      <c r="Z757" s="49" t="s">
        <v>1582</v>
      </c>
      <c r="AA757" s="50" t="s">
        <v>1990</v>
      </c>
      <c r="AB757" s="51">
        <v>3</v>
      </c>
    </row>
    <row r="758" spans="1:28" ht="13.5" customHeight="1">
      <c r="A758" s="27"/>
      <c r="B758" s="44"/>
      <c r="C758" s="36"/>
      <c r="D758" s="6"/>
      <c r="E758" s="46" t="s">
        <v>1992</v>
      </c>
      <c r="F758" s="47" t="s">
        <v>1991</v>
      </c>
      <c r="G758" s="48">
        <v>0.5</v>
      </c>
      <c r="H758" s="46" t="s">
        <v>1992</v>
      </c>
      <c r="I758" s="47" t="s">
        <v>1991</v>
      </c>
      <c r="J758" s="48">
        <v>0.6</v>
      </c>
      <c r="K758" s="46" t="s">
        <v>1992</v>
      </c>
      <c r="L758" s="47" t="s">
        <v>1991</v>
      </c>
      <c r="M758" s="48">
        <v>0.5</v>
      </c>
      <c r="N758" s="46" t="s">
        <v>1992</v>
      </c>
      <c r="O758" s="47" t="s">
        <v>1991</v>
      </c>
      <c r="P758" s="48">
        <v>0.6</v>
      </c>
      <c r="Q758" s="46" t="s">
        <v>1992</v>
      </c>
      <c r="R758" s="47" t="s">
        <v>1991</v>
      </c>
      <c r="S758" s="48">
        <v>0.3</v>
      </c>
      <c r="T758" s="46" t="s">
        <v>1992</v>
      </c>
      <c r="U758" s="47" t="s">
        <v>1991</v>
      </c>
      <c r="V758" s="48">
        <v>0.5</v>
      </c>
      <c r="W758" s="46" t="s">
        <v>1993</v>
      </c>
      <c r="X758" s="47" t="s">
        <v>2868</v>
      </c>
      <c r="Y758" s="48">
        <v>1.2</v>
      </c>
      <c r="Z758" s="49" t="s">
        <v>1994</v>
      </c>
      <c r="AA758" s="50" t="s">
        <v>1991</v>
      </c>
      <c r="AB758" s="51">
        <v>5</v>
      </c>
    </row>
    <row r="759" spans="1:28" ht="13.5" customHeight="1">
      <c r="A759" s="27"/>
      <c r="B759" s="44"/>
      <c r="C759" s="36"/>
      <c r="D759" s="6"/>
      <c r="E759" s="46" t="s">
        <v>1996</v>
      </c>
      <c r="F759" s="47" t="s">
        <v>1995</v>
      </c>
      <c r="G759" s="48">
        <v>3.5</v>
      </c>
      <c r="H759" s="46" t="s">
        <v>1996</v>
      </c>
      <c r="I759" s="47" t="s">
        <v>1995</v>
      </c>
      <c r="J759" s="48">
        <v>3.8</v>
      </c>
      <c r="K759" s="46" t="s">
        <v>1996</v>
      </c>
      <c r="L759" s="47" t="s">
        <v>1995</v>
      </c>
      <c r="M759" s="48">
        <v>5</v>
      </c>
      <c r="N759" s="46" t="s">
        <v>1996</v>
      </c>
      <c r="O759" s="47" t="s">
        <v>1995</v>
      </c>
      <c r="P759" s="48">
        <v>6.7</v>
      </c>
      <c r="Q759" s="46" t="s">
        <v>1996</v>
      </c>
      <c r="R759" s="47" t="s">
        <v>1995</v>
      </c>
      <c r="S759" s="48">
        <v>7.2</v>
      </c>
      <c r="T759" s="46" t="s">
        <v>1996</v>
      </c>
      <c r="U759" s="47" t="s">
        <v>1995</v>
      </c>
      <c r="V759" s="48">
        <v>8.4</v>
      </c>
      <c r="W759" s="46" t="s">
        <v>1997</v>
      </c>
      <c r="X759" s="47" t="s">
        <v>2869</v>
      </c>
      <c r="Y759" s="48">
        <v>11.4</v>
      </c>
      <c r="Z759" s="49" t="s">
        <v>1998</v>
      </c>
      <c r="AA759" s="50" t="s">
        <v>1995</v>
      </c>
      <c r="AB759" s="51">
        <v>7.4</v>
      </c>
    </row>
    <row r="760" spans="1:28" ht="13.5" customHeight="1">
      <c r="A760" s="27"/>
      <c r="B760" s="44"/>
      <c r="C760" s="36"/>
      <c r="D760" s="6"/>
      <c r="E760" s="46" t="s">
        <v>1999</v>
      </c>
      <c r="F760" s="63" t="s">
        <v>2983</v>
      </c>
      <c r="G760" s="48">
        <v>1.4</v>
      </c>
      <c r="H760" s="46" t="s">
        <v>1999</v>
      </c>
      <c r="I760" s="63" t="s">
        <v>2983</v>
      </c>
      <c r="J760" s="48">
        <v>1.3</v>
      </c>
      <c r="K760" s="46" t="s">
        <v>1999</v>
      </c>
      <c r="L760" s="63" t="s">
        <v>2983</v>
      </c>
      <c r="M760" s="48">
        <v>2.6</v>
      </c>
      <c r="N760" s="46" t="s">
        <v>1999</v>
      </c>
      <c r="O760" s="63" t="s">
        <v>2983</v>
      </c>
      <c r="P760" s="48">
        <v>3.2</v>
      </c>
      <c r="Q760" s="62" t="s">
        <v>1999</v>
      </c>
      <c r="R760" s="63" t="s">
        <v>2983</v>
      </c>
      <c r="S760" s="64">
        <v>3.3</v>
      </c>
      <c r="T760" s="62" t="s">
        <v>1999</v>
      </c>
      <c r="U760" s="63" t="s">
        <v>2983</v>
      </c>
      <c r="V760" s="64">
        <v>3.2</v>
      </c>
      <c r="W760" s="62" t="s">
        <v>2001</v>
      </c>
      <c r="X760" s="63" t="s">
        <v>2000</v>
      </c>
      <c r="Y760" s="64">
        <v>2.6</v>
      </c>
      <c r="Z760" s="65" t="s">
        <v>2002</v>
      </c>
      <c r="AA760" s="66" t="s">
        <v>2000</v>
      </c>
      <c r="AB760" s="67">
        <v>1.3</v>
      </c>
    </row>
    <row r="761" spans="1:28" ht="13.5" customHeight="1">
      <c r="A761" s="27"/>
      <c r="B761" s="44"/>
      <c r="C761" s="36"/>
      <c r="D761" s="20"/>
      <c r="E761" s="46" t="s">
        <v>2984</v>
      </c>
      <c r="F761" s="88" t="s">
        <v>2985</v>
      </c>
      <c r="G761" s="48">
        <v>0.2</v>
      </c>
      <c r="H761" s="46" t="s">
        <v>2984</v>
      </c>
      <c r="I761" s="88" t="s">
        <v>2985</v>
      </c>
      <c r="J761" s="48">
        <v>0.1</v>
      </c>
      <c r="K761" s="46"/>
      <c r="L761" s="88"/>
      <c r="M761" s="48"/>
      <c r="N761" s="46"/>
      <c r="O761" s="88"/>
      <c r="P761" s="48"/>
      <c r="Q761" s="96"/>
      <c r="R761" s="88"/>
      <c r="S761" s="146"/>
      <c r="T761" s="96"/>
      <c r="U761" s="88"/>
      <c r="V761" s="146"/>
      <c r="W761" s="96"/>
      <c r="X761" s="88"/>
      <c r="Y761" s="146"/>
      <c r="Z761" s="90"/>
      <c r="AA761" s="91"/>
      <c r="AB761" s="147"/>
    </row>
    <row r="762" spans="1:28" ht="13.5" customHeight="1">
      <c r="A762" s="27"/>
      <c r="B762" s="44"/>
      <c r="C762" s="28" t="s">
        <v>2003</v>
      </c>
      <c r="D762" s="30" t="s">
        <v>2004</v>
      </c>
      <c r="E762" s="37" t="s">
        <v>2005</v>
      </c>
      <c r="F762" s="71"/>
      <c r="G762" s="39">
        <f>SUM(G763:G766)</f>
        <v>6.2</v>
      </c>
      <c r="H762" s="37" t="s">
        <v>2005</v>
      </c>
      <c r="I762" s="71"/>
      <c r="J762" s="39">
        <f>SUM(J763:J766)</f>
        <v>4.5</v>
      </c>
      <c r="K762" s="37" t="s">
        <v>2005</v>
      </c>
      <c r="L762" s="71"/>
      <c r="M762" s="39">
        <f>SUM(M763:M766)</f>
        <v>3.6</v>
      </c>
      <c r="N762" s="37" t="s">
        <v>2005</v>
      </c>
      <c r="O762" s="71"/>
      <c r="P762" s="39">
        <f>SUM(P763:P766)</f>
        <v>4.3000000000000007</v>
      </c>
      <c r="Q762" s="37" t="s">
        <v>2005</v>
      </c>
      <c r="R762" s="71"/>
      <c r="S762" s="39">
        <f>SUM(S763:S766)</f>
        <v>4.8</v>
      </c>
      <c r="T762" s="37" t="s">
        <v>2005</v>
      </c>
      <c r="U762" s="71"/>
      <c r="V762" s="39">
        <f>SUM(V763:V766)</f>
        <v>4.8</v>
      </c>
      <c r="W762" s="72"/>
      <c r="X762" s="71"/>
      <c r="Y762" s="39">
        <f>SUM(Y763:Y766)</f>
        <v>4.9000000000000004</v>
      </c>
      <c r="Z762" s="42"/>
      <c r="AA762" s="43"/>
      <c r="AB762" s="39">
        <f>SUM(AB763:AB766)</f>
        <v>4.6000000000000005</v>
      </c>
    </row>
    <row r="763" spans="1:28" ht="13.5" customHeight="1">
      <c r="A763" s="27"/>
      <c r="B763" s="44"/>
      <c r="C763" s="36"/>
      <c r="D763" s="6"/>
      <c r="E763" s="46" t="s">
        <v>2007</v>
      </c>
      <c r="F763" s="47" t="s">
        <v>2006</v>
      </c>
      <c r="G763" s="48">
        <v>2</v>
      </c>
      <c r="H763" s="46" t="s">
        <v>2007</v>
      </c>
      <c r="I763" s="47" t="s">
        <v>2006</v>
      </c>
      <c r="J763" s="48">
        <v>1.7</v>
      </c>
      <c r="K763" s="46" t="s">
        <v>2007</v>
      </c>
      <c r="L763" s="47" t="s">
        <v>2006</v>
      </c>
      <c r="M763" s="48">
        <v>1.1000000000000001</v>
      </c>
      <c r="N763" s="46" t="s">
        <v>2007</v>
      </c>
      <c r="O763" s="47" t="s">
        <v>2006</v>
      </c>
      <c r="P763" s="48">
        <v>1.2</v>
      </c>
      <c r="Q763" s="46" t="s">
        <v>2007</v>
      </c>
      <c r="R763" s="47" t="s">
        <v>2006</v>
      </c>
      <c r="S763" s="48">
        <v>2</v>
      </c>
      <c r="T763" s="46" t="s">
        <v>2007</v>
      </c>
      <c r="U763" s="47" t="s">
        <v>2006</v>
      </c>
      <c r="V763" s="48">
        <v>2.2999999999999998</v>
      </c>
      <c r="W763" s="46" t="s">
        <v>2008</v>
      </c>
      <c r="X763" s="47" t="s">
        <v>2870</v>
      </c>
      <c r="Y763" s="48">
        <v>2.5</v>
      </c>
      <c r="Z763" s="49" t="s">
        <v>1598</v>
      </c>
      <c r="AA763" s="50" t="s">
        <v>2006</v>
      </c>
      <c r="AB763" s="51">
        <v>0.8</v>
      </c>
    </row>
    <row r="764" spans="1:28" ht="13.5" customHeight="1">
      <c r="A764" s="27"/>
      <c r="B764" s="44"/>
      <c r="C764" s="36"/>
      <c r="D764" s="6"/>
      <c r="E764" s="46" t="s">
        <v>2010</v>
      </c>
      <c r="F764" s="113" t="s">
        <v>2009</v>
      </c>
      <c r="G764" s="48">
        <v>0.5</v>
      </c>
      <c r="H764" s="46" t="s">
        <v>2010</v>
      </c>
      <c r="I764" s="113" t="s">
        <v>2009</v>
      </c>
      <c r="J764" s="48">
        <v>0.5</v>
      </c>
      <c r="K764" s="46" t="s">
        <v>2010</v>
      </c>
      <c r="L764" s="113" t="s">
        <v>2009</v>
      </c>
      <c r="M764" s="48">
        <v>0.8</v>
      </c>
      <c r="N764" s="46" t="s">
        <v>2010</v>
      </c>
      <c r="O764" s="113" t="s">
        <v>2009</v>
      </c>
      <c r="P764" s="48">
        <v>1</v>
      </c>
      <c r="Q764" s="46" t="s">
        <v>2010</v>
      </c>
      <c r="R764" s="113" t="s">
        <v>2009</v>
      </c>
      <c r="S764" s="48">
        <v>1</v>
      </c>
      <c r="T764" s="46" t="s">
        <v>2010</v>
      </c>
      <c r="U764" s="113" t="s">
        <v>2009</v>
      </c>
      <c r="V764" s="48">
        <v>1.3</v>
      </c>
      <c r="W764" s="46" t="s">
        <v>2011</v>
      </c>
      <c r="X764" s="113" t="s">
        <v>2871</v>
      </c>
      <c r="Y764" s="48">
        <v>1.1000000000000001</v>
      </c>
      <c r="Z764" s="49" t="s">
        <v>1574</v>
      </c>
      <c r="AA764" s="50" t="s">
        <v>2009</v>
      </c>
      <c r="AB764" s="51">
        <v>1.9</v>
      </c>
    </row>
    <row r="765" spans="1:28" ht="13.5" customHeight="1">
      <c r="A765" s="27"/>
      <c r="B765" s="44"/>
      <c r="C765" s="44"/>
      <c r="D765" s="6"/>
      <c r="E765" s="46" t="s">
        <v>2013</v>
      </c>
      <c r="F765" s="47" t="s">
        <v>2012</v>
      </c>
      <c r="G765" s="48">
        <v>3.7</v>
      </c>
      <c r="H765" s="46" t="s">
        <v>2013</v>
      </c>
      <c r="I765" s="47" t="s">
        <v>2012</v>
      </c>
      <c r="J765" s="48">
        <v>2.2999999999999998</v>
      </c>
      <c r="K765" s="46" t="s">
        <v>2013</v>
      </c>
      <c r="L765" s="47" t="s">
        <v>2012</v>
      </c>
      <c r="M765" s="48">
        <v>1.7</v>
      </c>
      <c r="N765" s="46" t="s">
        <v>2013</v>
      </c>
      <c r="O765" s="47" t="s">
        <v>2012</v>
      </c>
      <c r="P765" s="48">
        <v>2.1</v>
      </c>
      <c r="Q765" s="46" t="s">
        <v>2013</v>
      </c>
      <c r="R765" s="47" t="s">
        <v>2012</v>
      </c>
      <c r="S765" s="48">
        <v>1.8</v>
      </c>
      <c r="T765" s="46" t="s">
        <v>2013</v>
      </c>
      <c r="U765" s="47" t="s">
        <v>2012</v>
      </c>
      <c r="V765" s="48">
        <v>1.2</v>
      </c>
      <c r="W765" s="46" t="s">
        <v>2014</v>
      </c>
      <c r="X765" s="47" t="s">
        <v>2872</v>
      </c>
      <c r="Y765" s="48">
        <v>1.3</v>
      </c>
      <c r="Z765" s="49" t="s">
        <v>1579</v>
      </c>
      <c r="AA765" s="50" t="s">
        <v>2012</v>
      </c>
      <c r="AB765" s="51">
        <v>1.7</v>
      </c>
    </row>
    <row r="766" spans="1:28" ht="13.5" customHeight="1">
      <c r="A766" s="27"/>
      <c r="B766" s="44"/>
      <c r="C766" s="44"/>
      <c r="D766" s="45"/>
      <c r="E766" s="46"/>
      <c r="F766" s="47"/>
      <c r="G766" s="48"/>
      <c r="H766" s="46"/>
      <c r="I766" s="47"/>
      <c r="J766" s="48"/>
      <c r="K766" s="46"/>
      <c r="L766" s="47"/>
      <c r="M766" s="48"/>
      <c r="N766" s="46"/>
      <c r="O766" s="47"/>
      <c r="P766" s="48"/>
      <c r="Q766" s="46"/>
      <c r="R766" s="47"/>
      <c r="S766" s="48"/>
      <c r="T766" s="46"/>
      <c r="U766" s="47"/>
      <c r="V766" s="48"/>
      <c r="W766" s="46"/>
      <c r="X766" s="47"/>
      <c r="Y766" s="48"/>
      <c r="Z766" s="49" t="s">
        <v>1591</v>
      </c>
      <c r="AA766" s="50" t="s">
        <v>2015</v>
      </c>
      <c r="AB766" s="51">
        <v>0.2</v>
      </c>
    </row>
    <row r="767" spans="1:28" ht="13.5" customHeight="1">
      <c r="A767" s="85" t="s">
        <v>2016</v>
      </c>
      <c r="B767" s="29"/>
      <c r="C767" s="29"/>
      <c r="D767" s="30" t="s">
        <v>2017</v>
      </c>
      <c r="E767" s="87"/>
      <c r="F767" s="99"/>
      <c r="G767" s="100">
        <f>SUM(G768,G824)</f>
        <v>144.69999999999999</v>
      </c>
      <c r="H767" s="87"/>
      <c r="I767" s="99"/>
      <c r="J767" s="100">
        <f>SUM(J768,J824)</f>
        <v>131.29999999999998</v>
      </c>
      <c r="K767" s="87"/>
      <c r="L767" s="99"/>
      <c r="M767" s="100">
        <f>SUM(M768,M824)</f>
        <v>131.79999999999998</v>
      </c>
      <c r="N767" s="87"/>
      <c r="O767" s="99"/>
      <c r="P767" s="100">
        <f>SUM(P768,P824)</f>
        <v>129.39999999999998</v>
      </c>
      <c r="Q767" s="87"/>
      <c r="R767" s="99"/>
      <c r="S767" s="100">
        <f>SUM(S768,S824)</f>
        <v>121.60000000000001</v>
      </c>
      <c r="T767" s="87"/>
      <c r="U767" s="99"/>
      <c r="V767" s="100">
        <f>SUM(V768,V824)</f>
        <v>120.4</v>
      </c>
      <c r="W767" s="87"/>
      <c r="X767" s="99"/>
      <c r="Y767" s="100">
        <f>SUM(Y768,Y824)</f>
        <v>132.69999999999999</v>
      </c>
      <c r="Z767" s="94"/>
      <c r="AA767" s="95"/>
      <c r="AB767" s="100">
        <f>SUM(AB768,AB824)</f>
        <v>102.90000000000002</v>
      </c>
    </row>
    <row r="768" spans="1:28" ht="13.5" customHeight="1">
      <c r="A768" s="104"/>
      <c r="B768" s="28" t="s">
        <v>2018</v>
      </c>
      <c r="C768" s="13"/>
      <c r="D768" s="117" t="s">
        <v>2019</v>
      </c>
      <c r="E768" s="31" t="s">
        <v>2020</v>
      </c>
      <c r="F768" s="99"/>
      <c r="G768" s="33">
        <f>G769</f>
        <v>138</v>
      </c>
      <c r="H768" s="31" t="s">
        <v>2020</v>
      </c>
      <c r="I768" s="99"/>
      <c r="J768" s="33">
        <f>J769</f>
        <v>126.69999999999999</v>
      </c>
      <c r="K768" s="31" t="s">
        <v>2020</v>
      </c>
      <c r="L768" s="99"/>
      <c r="M768" s="33">
        <f>M769</f>
        <v>126.6</v>
      </c>
      <c r="N768" s="31" t="s">
        <v>2020</v>
      </c>
      <c r="O768" s="99"/>
      <c r="P768" s="33">
        <f>P769</f>
        <v>125.79999999999998</v>
      </c>
      <c r="Q768" s="31" t="s">
        <v>2020</v>
      </c>
      <c r="R768" s="99"/>
      <c r="S768" s="33">
        <f>S769</f>
        <v>119.00000000000001</v>
      </c>
      <c r="T768" s="31" t="s">
        <v>2020</v>
      </c>
      <c r="U768" s="99"/>
      <c r="V768" s="33">
        <f>V769</f>
        <v>118.2</v>
      </c>
      <c r="W768" s="87"/>
      <c r="X768" s="99"/>
      <c r="Y768" s="33">
        <f>Y769</f>
        <v>130.6</v>
      </c>
      <c r="Z768" s="94"/>
      <c r="AA768" s="95"/>
      <c r="AB768" s="33">
        <f>AB769</f>
        <v>101.00000000000001</v>
      </c>
    </row>
    <row r="769" spans="1:28" ht="13.5" customHeight="1">
      <c r="A769" s="104"/>
      <c r="B769" s="44"/>
      <c r="C769" s="36" t="s">
        <v>2021</v>
      </c>
      <c r="D769" s="6" t="s">
        <v>2019</v>
      </c>
      <c r="E769" s="37" t="s">
        <v>2022</v>
      </c>
      <c r="F769" s="71"/>
      <c r="G769" s="39">
        <f>SUM(G770:G823)</f>
        <v>138</v>
      </c>
      <c r="H769" s="37" t="s">
        <v>2022</v>
      </c>
      <c r="I769" s="71"/>
      <c r="J769" s="39">
        <f>SUM(J770:J823)</f>
        <v>126.69999999999999</v>
      </c>
      <c r="K769" s="37" t="s">
        <v>2022</v>
      </c>
      <c r="L769" s="71"/>
      <c r="M769" s="39">
        <f>SUM(M770:M823)</f>
        <v>126.6</v>
      </c>
      <c r="N769" s="37" t="s">
        <v>2022</v>
      </c>
      <c r="O769" s="71"/>
      <c r="P769" s="39">
        <f>SUM(P770:P823)</f>
        <v>125.79999999999998</v>
      </c>
      <c r="Q769" s="37" t="s">
        <v>2022</v>
      </c>
      <c r="R769" s="71"/>
      <c r="S769" s="39">
        <f>SUM(S770:S823)</f>
        <v>119.00000000000001</v>
      </c>
      <c r="T769" s="37" t="s">
        <v>2022</v>
      </c>
      <c r="U769" s="71"/>
      <c r="V769" s="39">
        <f>SUM(V770:V823)</f>
        <v>118.2</v>
      </c>
      <c r="W769" s="72"/>
      <c r="X769" s="71"/>
      <c r="Y769" s="39">
        <f>SUM(Y770:Y823)</f>
        <v>130.6</v>
      </c>
      <c r="Z769" s="42"/>
      <c r="AA769" s="43"/>
      <c r="AB769" s="39">
        <f>SUM(AB770:AB823)</f>
        <v>101.00000000000001</v>
      </c>
    </row>
    <row r="770" spans="1:28" ht="13.5" customHeight="1">
      <c r="A770" s="27"/>
      <c r="B770" s="144"/>
      <c r="C770" s="21"/>
      <c r="D770" s="45"/>
      <c r="E770" s="46" t="s">
        <v>2024</v>
      </c>
      <c r="F770" s="47" t="s">
        <v>2023</v>
      </c>
      <c r="G770" s="48">
        <v>2</v>
      </c>
      <c r="H770" s="46" t="s">
        <v>2024</v>
      </c>
      <c r="I770" s="47" t="s">
        <v>2023</v>
      </c>
      <c r="J770" s="48">
        <v>1.8</v>
      </c>
      <c r="K770" s="46" t="s">
        <v>2024</v>
      </c>
      <c r="L770" s="47" t="s">
        <v>2023</v>
      </c>
      <c r="M770" s="48">
        <v>2.2000000000000002</v>
      </c>
      <c r="N770" s="46" t="s">
        <v>2024</v>
      </c>
      <c r="O770" s="47" t="s">
        <v>2023</v>
      </c>
      <c r="P770" s="48">
        <v>2.1</v>
      </c>
      <c r="Q770" s="46" t="s">
        <v>2024</v>
      </c>
      <c r="R770" s="47" t="s">
        <v>2023</v>
      </c>
      <c r="S770" s="48">
        <v>1.9</v>
      </c>
      <c r="T770" s="46" t="s">
        <v>2024</v>
      </c>
      <c r="U770" s="47" t="s">
        <v>2023</v>
      </c>
      <c r="V770" s="48">
        <v>1.9</v>
      </c>
      <c r="W770" s="46" t="s">
        <v>2025</v>
      </c>
      <c r="X770" s="47" t="s">
        <v>2873</v>
      </c>
      <c r="Y770" s="48">
        <v>2.5</v>
      </c>
      <c r="Z770" s="49" t="s">
        <v>2026</v>
      </c>
      <c r="AA770" s="50" t="s">
        <v>2023</v>
      </c>
      <c r="AB770" s="51">
        <v>2.2999999999999998</v>
      </c>
    </row>
    <row r="771" spans="1:28" ht="13.5" customHeight="1">
      <c r="A771" s="27"/>
      <c r="B771" s="44"/>
      <c r="C771" s="44"/>
      <c r="D771" s="6"/>
      <c r="E771" s="46" t="s">
        <v>2028</v>
      </c>
      <c r="F771" s="47" t="s">
        <v>2027</v>
      </c>
      <c r="G771" s="48">
        <v>2.4</v>
      </c>
      <c r="H771" s="46" t="s">
        <v>2028</v>
      </c>
      <c r="I771" s="47" t="s">
        <v>2027</v>
      </c>
      <c r="J771" s="48">
        <v>2.2999999999999998</v>
      </c>
      <c r="K771" s="46" t="s">
        <v>2028</v>
      </c>
      <c r="L771" s="47" t="s">
        <v>2027</v>
      </c>
      <c r="M771" s="48">
        <v>2.1</v>
      </c>
      <c r="N771" s="46" t="s">
        <v>2028</v>
      </c>
      <c r="O771" s="47" t="s">
        <v>2027</v>
      </c>
      <c r="P771" s="48">
        <v>2</v>
      </c>
      <c r="Q771" s="46" t="s">
        <v>2028</v>
      </c>
      <c r="R771" s="47" t="s">
        <v>2027</v>
      </c>
      <c r="S771" s="48">
        <v>2.2999999999999998</v>
      </c>
      <c r="T771" s="46" t="s">
        <v>2028</v>
      </c>
      <c r="U771" s="47" t="s">
        <v>2027</v>
      </c>
      <c r="V771" s="48">
        <v>2.2999999999999998</v>
      </c>
      <c r="W771" s="46" t="s">
        <v>2029</v>
      </c>
      <c r="X771" s="47" t="s">
        <v>2874</v>
      </c>
      <c r="Y771" s="48">
        <v>2.6</v>
      </c>
      <c r="Z771" s="49" t="s">
        <v>2030</v>
      </c>
      <c r="AA771" s="50" t="s">
        <v>2027</v>
      </c>
      <c r="AB771" s="51">
        <v>1.8</v>
      </c>
    </row>
    <row r="772" spans="1:28" ht="13.5" customHeight="1">
      <c r="A772" s="27"/>
      <c r="B772" s="44"/>
      <c r="C772" s="36"/>
      <c r="D772" s="6"/>
      <c r="E772" s="46" t="s">
        <v>2032</v>
      </c>
      <c r="F772" s="47" t="s">
        <v>2031</v>
      </c>
      <c r="G772" s="48">
        <v>2.4</v>
      </c>
      <c r="H772" s="46" t="s">
        <v>2032</v>
      </c>
      <c r="I772" s="47" t="s">
        <v>2031</v>
      </c>
      <c r="J772" s="48">
        <v>3.1</v>
      </c>
      <c r="K772" s="46" t="s">
        <v>2032</v>
      </c>
      <c r="L772" s="47" t="s">
        <v>2031</v>
      </c>
      <c r="M772" s="48">
        <v>2.4</v>
      </c>
      <c r="N772" s="46" t="s">
        <v>2032</v>
      </c>
      <c r="O772" s="47" t="s">
        <v>2031</v>
      </c>
      <c r="P772" s="48">
        <v>2.2999999999999998</v>
      </c>
      <c r="Q772" s="46" t="s">
        <v>2032</v>
      </c>
      <c r="R772" s="47" t="s">
        <v>2031</v>
      </c>
      <c r="S772" s="48">
        <v>2.7</v>
      </c>
      <c r="T772" s="46" t="s">
        <v>2032</v>
      </c>
      <c r="U772" s="47" t="s">
        <v>2031</v>
      </c>
      <c r="V772" s="48">
        <v>2.7</v>
      </c>
      <c r="W772" s="46" t="s">
        <v>2033</v>
      </c>
      <c r="X772" s="47" t="s">
        <v>2875</v>
      </c>
      <c r="Y772" s="48">
        <v>3.4</v>
      </c>
      <c r="Z772" s="49" t="s">
        <v>2034</v>
      </c>
      <c r="AA772" s="50" t="s">
        <v>2031</v>
      </c>
      <c r="AB772" s="51">
        <v>2.4</v>
      </c>
    </row>
    <row r="773" spans="1:28" ht="13.5" customHeight="1">
      <c r="A773" s="27"/>
      <c r="B773" s="44"/>
      <c r="C773" s="44"/>
      <c r="D773" s="6"/>
      <c r="E773" s="46" t="s">
        <v>2036</v>
      </c>
      <c r="F773" s="47" t="s">
        <v>2035</v>
      </c>
      <c r="G773" s="48">
        <v>2.2000000000000002</v>
      </c>
      <c r="H773" s="46" t="s">
        <v>2036</v>
      </c>
      <c r="I773" s="47" t="s">
        <v>2035</v>
      </c>
      <c r="J773" s="48">
        <v>2.2000000000000002</v>
      </c>
      <c r="K773" s="46" t="s">
        <v>2036</v>
      </c>
      <c r="L773" s="47" t="s">
        <v>2035</v>
      </c>
      <c r="M773" s="48">
        <v>2.2999999999999998</v>
      </c>
      <c r="N773" s="46" t="s">
        <v>2036</v>
      </c>
      <c r="O773" s="47" t="s">
        <v>2035</v>
      </c>
      <c r="P773" s="48">
        <v>2.2999999999999998</v>
      </c>
      <c r="Q773" s="46" t="s">
        <v>2036</v>
      </c>
      <c r="R773" s="47" t="s">
        <v>2035</v>
      </c>
      <c r="S773" s="48">
        <v>1.4</v>
      </c>
      <c r="T773" s="46" t="s">
        <v>2036</v>
      </c>
      <c r="U773" s="47" t="s">
        <v>2035</v>
      </c>
      <c r="V773" s="48">
        <v>1.4</v>
      </c>
      <c r="W773" s="46" t="s">
        <v>2037</v>
      </c>
      <c r="X773" s="47" t="s">
        <v>2876</v>
      </c>
      <c r="Y773" s="48">
        <v>2.8</v>
      </c>
      <c r="Z773" s="49" t="s">
        <v>2038</v>
      </c>
      <c r="AA773" s="50" t="s">
        <v>2035</v>
      </c>
      <c r="AB773" s="51">
        <v>2.5</v>
      </c>
    </row>
    <row r="774" spans="1:28" ht="13.5" customHeight="1">
      <c r="A774" s="27"/>
      <c r="B774" s="44"/>
      <c r="C774" s="44"/>
      <c r="D774" s="6"/>
      <c r="E774" s="46" t="s">
        <v>2040</v>
      </c>
      <c r="F774" s="47" t="s">
        <v>2039</v>
      </c>
      <c r="G774" s="48">
        <v>2.2000000000000002</v>
      </c>
      <c r="H774" s="46" t="s">
        <v>2040</v>
      </c>
      <c r="I774" s="47" t="s">
        <v>2039</v>
      </c>
      <c r="J774" s="48">
        <v>1.8</v>
      </c>
      <c r="K774" s="46" t="s">
        <v>2040</v>
      </c>
      <c r="L774" s="47" t="s">
        <v>2039</v>
      </c>
      <c r="M774" s="48">
        <v>2.2999999999999998</v>
      </c>
      <c r="N774" s="46" t="s">
        <v>2040</v>
      </c>
      <c r="O774" s="47" t="s">
        <v>2039</v>
      </c>
      <c r="P774" s="48">
        <v>2.2000000000000002</v>
      </c>
      <c r="Q774" s="46" t="s">
        <v>2040</v>
      </c>
      <c r="R774" s="47" t="s">
        <v>2039</v>
      </c>
      <c r="S774" s="48">
        <v>1.9</v>
      </c>
      <c r="T774" s="46" t="s">
        <v>2040</v>
      </c>
      <c r="U774" s="47" t="s">
        <v>2039</v>
      </c>
      <c r="V774" s="48">
        <v>1.9</v>
      </c>
      <c r="W774" s="46" t="s">
        <v>2041</v>
      </c>
      <c r="X774" s="47" t="s">
        <v>2877</v>
      </c>
      <c r="Y774" s="48">
        <v>2.4</v>
      </c>
      <c r="Z774" s="49" t="s">
        <v>2042</v>
      </c>
      <c r="AA774" s="50" t="s">
        <v>2039</v>
      </c>
      <c r="AB774" s="51">
        <v>1.8</v>
      </c>
    </row>
    <row r="775" spans="1:28" ht="13.5" customHeight="1">
      <c r="A775" s="27"/>
      <c r="B775" s="44"/>
      <c r="C775" s="44"/>
      <c r="D775" s="6"/>
      <c r="E775" s="46" t="s">
        <v>2044</v>
      </c>
      <c r="F775" s="47" t="s">
        <v>2043</v>
      </c>
      <c r="G775" s="48">
        <v>4.8</v>
      </c>
      <c r="H775" s="46" t="s">
        <v>2044</v>
      </c>
      <c r="I775" s="47" t="s">
        <v>2043</v>
      </c>
      <c r="J775" s="48">
        <v>4.5999999999999996</v>
      </c>
      <c r="K775" s="46" t="s">
        <v>2044</v>
      </c>
      <c r="L775" s="47" t="s">
        <v>2043</v>
      </c>
      <c r="M775" s="48">
        <v>5</v>
      </c>
      <c r="N775" s="46" t="s">
        <v>2044</v>
      </c>
      <c r="O775" s="47" t="s">
        <v>2043</v>
      </c>
      <c r="P775" s="48">
        <v>4.8</v>
      </c>
      <c r="Q775" s="46" t="s">
        <v>2044</v>
      </c>
      <c r="R775" s="47" t="s">
        <v>2043</v>
      </c>
      <c r="S775" s="48">
        <v>4.7</v>
      </c>
      <c r="T775" s="46" t="s">
        <v>2044</v>
      </c>
      <c r="U775" s="47" t="s">
        <v>2043</v>
      </c>
      <c r="V775" s="48">
        <v>4.7</v>
      </c>
      <c r="W775" s="46" t="s">
        <v>2045</v>
      </c>
      <c r="X775" s="47" t="s">
        <v>2878</v>
      </c>
      <c r="Y775" s="48">
        <v>4.5</v>
      </c>
      <c r="Z775" s="49" t="s">
        <v>2046</v>
      </c>
      <c r="AA775" s="50" t="s">
        <v>2043</v>
      </c>
      <c r="AB775" s="51">
        <v>2.6</v>
      </c>
    </row>
    <row r="776" spans="1:28" ht="13.5" customHeight="1">
      <c r="A776" s="27"/>
      <c r="B776" s="44"/>
      <c r="C776" s="44"/>
      <c r="D776" s="6"/>
      <c r="E776" s="46" t="s">
        <v>2048</v>
      </c>
      <c r="F776" s="47" t="s">
        <v>2047</v>
      </c>
      <c r="G776" s="48">
        <v>4.3</v>
      </c>
      <c r="H776" s="46" t="s">
        <v>2048</v>
      </c>
      <c r="I776" s="47" t="s">
        <v>2047</v>
      </c>
      <c r="J776" s="48">
        <v>5</v>
      </c>
      <c r="K776" s="46" t="s">
        <v>2048</v>
      </c>
      <c r="L776" s="47" t="s">
        <v>2047</v>
      </c>
      <c r="M776" s="48">
        <v>4.5</v>
      </c>
      <c r="N776" s="46" t="s">
        <v>2048</v>
      </c>
      <c r="O776" s="47" t="s">
        <v>2047</v>
      </c>
      <c r="P776" s="48">
        <v>4.3</v>
      </c>
      <c r="Q776" s="46" t="s">
        <v>2048</v>
      </c>
      <c r="R776" s="47" t="s">
        <v>2047</v>
      </c>
      <c r="S776" s="48">
        <v>5.5</v>
      </c>
      <c r="T776" s="46" t="s">
        <v>2048</v>
      </c>
      <c r="U776" s="47" t="s">
        <v>2047</v>
      </c>
      <c r="V776" s="48">
        <v>5.5</v>
      </c>
      <c r="W776" s="46" t="s">
        <v>2049</v>
      </c>
      <c r="X776" s="47" t="s">
        <v>2879</v>
      </c>
      <c r="Y776" s="48">
        <v>4.9000000000000004</v>
      </c>
      <c r="Z776" s="49" t="s">
        <v>2050</v>
      </c>
      <c r="AA776" s="50" t="s">
        <v>2047</v>
      </c>
      <c r="AB776" s="51">
        <v>3.2</v>
      </c>
    </row>
    <row r="777" spans="1:28" ht="13.5" customHeight="1">
      <c r="A777" s="27"/>
      <c r="B777" s="44"/>
      <c r="C777" s="44"/>
      <c r="D777" s="6"/>
      <c r="E777" s="46" t="s">
        <v>2052</v>
      </c>
      <c r="F777" s="47" t="s">
        <v>2051</v>
      </c>
      <c r="G777" s="48">
        <v>1.1000000000000001</v>
      </c>
      <c r="H777" s="46" t="s">
        <v>2052</v>
      </c>
      <c r="I777" s="47" t="s">
        <v>2051</v>
      </c>
      <c r="J777" s="48">
        <v>1.4</v>
      </c>
      <c r="K777" s="46" t="s">
        <v>2052</v>
      </c>
      <c r="L777" s="47" t="s">
        <v>2051</v>
      </c>
      <c r="M777" s="48">
        <v>1.6</v>
      </c>
      <c r="N777" s="46" t="s">
        <v>2052</v>
      </c>
      <c r="O777" s="47" t="s">
        <v>2051</v>
      </c>
      <c r="P777" s="48">
        <v>1.6</v>
      </c>
      <c r="Q777" s="46" t="s">
        <v>2052</v>
      </c>
      <c r="R777" s="47" t="s">
        <v>2051</v>
      </c>
      <c r="S777" s="48">
        <v>1.5</v>
      </c>
      <c r="T777" s="46" t="s">
        <v>2052</v>
      </c>
      <c r="U777" s="47" t="s">
        <v>2051</v>
      </c>
      <c r="V777" s="48">
        <v>1.5</v>
      </c>
      <c r="W777" s="46" t="s">
        <v>2053</v>
      </c>
      <c r="X777" s="47" t="s">
        <v>2880</v>
      </c>
      <c r="Y777" s="48">
        <v>2.5</v>
      </c>
      <c r="Z777" s="49" t="s">
        <v>2054</v>
      </c>
      <c r="AA777" s="50" t="s">
        <v>2051</v>
      </c>
      <c r="AB777" s="51">
        <v>2.6</v>
      </c>
    </row>
    <row r="778" spans="1:28" ht="13.5" customHeight="1">
      <c r="A778" s="27"/>
      <c r="B778" s="44"/>
      <c r="C778" s="44"/>
      <c r="D778" s="6"/>
      <c r="E778" s="46" t="s">
        <v>2056</v>
      </c>
      <c r="F778" s="47" t="s">
        <v>2055</v>
      </c>
      <c r="G778" s="48">
        <v>8.3000000000000007</v>
      </c>
      <c r="H778" s="46" t="s">
        <v>2056</v>
      </c>
      <c r="I778" s="47" t="s">
        <v>2055</v>
      </c>
      <c r="J778" s="48">
        <v>6.6</v>
      </c>
      <c r="K778" s="46" t="s">
        <v>2056</v>
      </c>
      <c r="L778" s="47" t="s">
        <v>2055</v>
      </c>
      <c r="M778" s="48">
        <v>5.5</v>
      </c>
      <c r="N778" s="46" t="s">
        <v>2056</v>
      </c>
      <c r="O778" s="47" t="s">
        <v>2055</v>
      </c>
      <c r="P778" s="48">
        <v>5.3</v>
      </c>
      <c r="Q778" s="46" t="s">
        <v>2056</v>
      </c>
      <c r="R778" s="47" t="s">
        <v>2055</v>
      </c>
      <c r="S778" s="48">
        <v>4</v>
      </c>
      <c r="T778" s="46" t="s">
        <v>2056</v>
      </c>
      <c r="U778" s="47" t="s">
        <v>2055</v>
      </c>
      <c r="V778" s="48">
        <v>4</v>
      </c>
      <c r="W778" s="46" t="s">
        <v>2057</v>
      </c>
      <c r="X778" s="47" t="s">
        <v>2881</v>
      </c>
      <c r="Y778" s="48">
        <v>1.9</v>
      </c>
      <c r="Z778" s="49" t="s">
        <v>2058</v>
      </c>
      <c r="AA778" s="50" t="s">
        <v>2059</v>
      </c>
      <c r="AB778" s="51">
        <v>2.6</v>
      </c>
    </row>
    <row r="779" spans="1:28" ht="13.5" customHeight="1">
      <c r="A779" s="27"/>
      <c r="B779" s="44"/>
      <c r="C779" s="44"/>
      <c r="D779" s="6"/>
      <c r="E779" s="46" t="s">
        <v>2061</v>
      </c>
      <c r="F779" s="47" t="s">
        <v>2060</v>
      </c>
      <c r="G779" s="48">
        <v>6.1</v>
      </c>
      <c r="H779" s="46" t="s">
        <v>2061</v>
      </c>
      <c r="I779" s="47" t="s">
        <v>2060</v>
      </c>
      <c r="J779" s="48">
        <v>5.7</v>
      </c>
      <c r="K779" s="46" t="s">
        <v>2061</v>
      </c>
      <c r="L779" s="47" t="s">
        <v>2060</v>
      </c>
      <c r="M779" s="48">
        <v>6.2</v>
      </c>
      <c r="N779" s="46" t="s">
        <v>2061</v>
      </c>
      <c r="O779" s="47" t="s">
        <v>2060</v>
      </c>
      <c r="P779" s="48">
        <v>6</v>
      </c>
      <c r="Q779" s="46" t="s">
        <v>2061</v>
      </c>
      <c r="R779" s="47" t="s">
        <v>2060</v>
      </c>
      <c r="S779" s="48">
        <v>6.6</v>
      </c>
      <c r="T779" s="46" t="s">
        <v>2061</v>
      </c>
      <c r="U779" s="47" t="s">
        <v>2060</v>
      </c>
      <c r="V779" s="48">
        <v>6.6</v>
      </c>
      <c r="W779" s="46" t="s">
        <v>2062</v>
      </c>
      <c r="X779" s="47" t="s">
        <v>2882</v>
      </c>
      <c r="Y779" s="48">
        <v>6.2</v>
      </c>
      <c r="Z779" s="49" t="s">
        <v>2063</v>
      </c>
      <c r="AA779" s="50" t="s">
        <v>2060</v>
      </c>
      <c r="AB779" s="51">
        <v>4.3</v>
      </c>
    </row>
    <row r="780" spans="1:28" ht="13.5" customHeight="1">
      <c r="A780" s="27"/>
      <c r="B780" s="44"/>
      <c r="C780" s="44"/>
      <c r="D780" s="6"/>
      <c r="E780" s="46" t="s">
        <v>2065</v>
      </c>
      <c r="F780" s="47" t="s">
        <v>2064</v>
      </c>
      <c r="G780" s="48">
        <v>7.2</v>
      </c>
      <c r="H780" s="46" t="s">
        <v>2065</v>
      </c>
      <c r="I780" s="47" t="s">
        <v>2064</v>
      </c>
      <c r="J780" s="48">
        <v>5.5</v>
      </c>
      <c r="K780" s="46" t="s">
        <v>2065</v>
      </c>
      <c r="L780" s="47" t="s">
        <v>2064</v>
      </c>
      <c r="M780" s="48">
        <v>6.5</v>
      </c>
      <c r="N780" s="46" t="s">
        <v>2065</v>
      </c>
      <c r="O780" s="47" t="s">
        <v>2064</v>
      </c>
      <c r="P780" s="48">
        <v>6.3</v>
      </c>
      <c r="Q780" s="46" t="s">
        <v>2065</v>
      </c>
      <c r="R780" s="47" t="s">
        <v>2064</v>
      </c>
      <c r="S780" s="48">
        <v>6.6</v>
      </c>
      <c r="T780" s="46" t="s">
        <v>2065</v>
      </c>
      <c r="U780" s="47" t="s">
        <v>2064</v>
      </c>
      <c r="V780" s="48">
        <v>6.6</v>
      </c>
      <c r="W780" s="46" t="s">
        <v>2066</v>
      </c>
      <c r="X780" s="47" t="s">
        <v>2883</v>
      </c>
      <c r="Y780" s="48">
        <v>6.1</v>
      </c>
      <c r="Z780" s="49" t="s">
        <v>2067</v>
      </c>
      <c r="AA780" s="50" t="s">
        <v>2064</v>
      </c>
      <c r="AB780" s="51">
        <v>2.4</v>
      </c>
    </row>
    <row r="781" spans="1:28" ht="13.5" customHeight="1">
      <c r="A781" s="27"/>
      <c r="B781" s="44"/>
      <c r="C781" s="44"/>
      <c r="D781" s="6"/>
      <c r="E781" s="46"/>
      <c r="F781" s="47"/>
      <c r="G781" s="48"/>
      <c r="H781" s="46"/>
      <c r="I781" s="47"/>
      <c r="J781" s="48"/>
      <c r="K781" s="46"/>
      <c r="L781" s="47"/>
      <c r="M781" s="48"/>
      <c r="N781" s="46"/>
      <c r="O781" s="47"/>
      <c r="P781" s="48"/>
      <c r="Q781" s="46"/>
      <c r="R781" s="47"/>
      <c r="S781" s="48"/>
      <c r="T781" s="46"/>
      <c r="U781" s="47"/>
      <c r="V781" s="48"/>
      <c r="W781" s="46" t="s">
        <v>2068</v>
      </c>
      <c r="X781" s="47" t="s">
        <v>2884</v>
      </c>
      <c r="Y781" s="48">
        <v>3.3</v>
      </c>
      <c r="Z781" s="49" t="s">
        <v>2069</v>
      </c>
      <c r="AA781" s="50" t="s">
        <v>2070</v>
      </c>
      <c r="AB781" s="51">
        <v>2.6</v>
      </c>
    </row>
    <row r="782" spans="1:28" ht="13.5" customHeight="1">
      <c r="A782" s="27"/>
      <c r="B782" s="44"/>
      <c r="C782" s="44"/>
      <c r="D782" s="6"/>
      <c r="E782" s="46" t="s">
        <v>2072</v>
      </c>
      <c r="F782" s="47" t="s">
        <v>2071</v>
      </c>
      <c r="G782" s="48">
        <v>2.2000000000000002</v>
      </c>
      <c r="H782" s="46" t="s">
        <v>2072</v>
      </c>
      <c r="I782" s="47" t="s">
        <v>2071</v>
      </c>
      <c r="J782" s="48">
        <v>2.1</v>
      </c>
      <c r="K782" s="46" t="s">
        <v>2072</v>
      </c>
      <c r="L782" s="47" t="s">
        <v>2071</v>
      </c>
      <c r="M782" s="48">
        <v>1.6</v>
      </c>
      <c r="N782" s="46" t="s">
        <v>2072</v>
      </c>
      <c r="O782" s="47" t="s">
        <v>2071</v>
      </c>
      <c r="P782" s="48">
        <v>1.5</v>
      </c>
      <c r="Q782" s="46" t="s">
        <v>2072</v>
      </c>
      <c r="R782" s="47" t="s">
        <v>2071</v>
      </c>
      <c r="S782" s="48">
        <v>3</v>
      </c>
      <c r="T782" s="46" t="s">
        <v>2072</v>
      </c>
      <c r="U782" s="47" t="s">
        <v>2071</v>
      </c>
      <c r="V782" s="48">
        <v>3</v>
      </c>
      <c r="W782" s="46" t="s">
        <v>2073</v>
      </c>
      <c r="X782" s="47" t="s">
        <v>2885</v>
      </c>
      <c r="Y782" s="48">
        <v>3.1</v>
      </c>
      <c r="Z782" s="49" t="s">
        <v>2074</v>
      </c>
      <c r="AA782" s="50" t="s">
        <v>2071</v>
      </c>
      <c r="AB782" s="51">
        <v>2.4</v>
      </c>
    </row>
    <row r="783" spans="1:28" ht="13.5" customHeight="1">
      <c r="A783" s="27"/>
      <c r="B783" s="44"/>
      <c r="C783" s="44"/>
      <c r="D783" s="6"/>
      <c r="E783" s="46" t="s">
        <v>2076</v>
      </c>
      <c r="F783" s="47" t="s">
        <v>2075</v>
      </c>
      <c r="G783" s="48">
        <v>2.4</v>
      </c>
      <c r="H783" s="46" t="s">
        <v>2076</v>
      </c>
      <c r="I783" s="47" t="s">
        <v>2075</v>
      </c>
      <c r="J783" s="48">
        <v>2</v>
      </c>
      <c r="K783" s="46" t="s">
        <v>2076</v>
      </c>
      <c r="L783" s="47" t="s">
        <v>2075</v>
      </c>
      <c r="M783" s="48">
        <v>1.5</v>
      </c>
      <c r="N783" s="46" t="s">
        <v>2076</v>
      </c>
      <c r="O783" s="47" t="s">
        <v>2075</v>
      </c>
      <c r="P783" s="48">
        <v>1.4</v>
      </c>
      <c r="Q783" s="46" t="s">
        <v>2076</v>
      </c>
      <c r="R783" s="47" t="s">
        <v>2075</v>
      </c>
      <c r="S783" s="48">
        <v>0.6</v>
      </c>
      <c r="T783" s="46" t="s">
        <v>2076</v>
      </c>
      <c r="U783" s="47" t="s">
        <v>2075</v>
      </c>
      <c r="V783" s="48">
        <v>0.6</v>
      </c>
      <c r="W783" s="46" t="s">
        <v>2077</v>
      </c>
      <c r="X783" s="47" t="s">
        <v>2886</v>
      </c>
      <c r="Y783" s="48">
        <v>1.8</v>
      </c>
      <c r="Z783" s="49" t="s">
        <v>2078</v>
      </c>
      <c r="AA783" s="50" t="s">
        <v>2075</v>
      </c>
      <c r="AB783" s="51">
        <v>2.2000000000000002</v>
      </c>
    </row>
    <row r="784" spans="1:28" ht="13.5" customHeight="1">
      <c r="A784" s="27"/>
      <c r="B784" s="44"/>
      <c r="C784" s="44"/>
      <c r="D784" s="6"/>
      <c r="E784" s="46" t="s">
        <v>2080</v>
      </c>
      <c r="F784" s="47" t="s">
        <v>2079</v>
      </c>
      <c r="G784" s="48">
        <v>2.1</v>
      </c>
      <c r="H784" s="46" t="s">
        <v>2080</v>
      </c>
      <c r="I784" s="47" t="s">
        <v>2079</v>
      </c>
      <c r="J784" s="48">
        <v>1.9</v>
      </c>
      <c r="K784" s="46" t="s">
        <v>2080</v>
      </c>
      <c r="L784" s="47" t="s">
        <v>2079</v>
      </c>
      <c r="M784" s="48">
        <v>1.4</v>
      </c>
      <c r="N784" s="46" t="s">
        <v>2080</v>
      </c>
      <c r="O784" s="47" t="s">
        <v>2079</v>
      </c>
      <c r="P784" s="48">
        <v>1.3</v>
      </c>
      <c r="Q784" s="46" t="s">
        <v>2080</v>
      </c>
      <c r="R784" s="47" t="s">
        <v>2079</v>
      </c>
      <c r="S784" s="48">
        <v>1.2</v>
      </c>
      <c r="T784" s="46" t="s">
        <v>2080</v>
      </c>
      <c r="U784" s="47" t="s">
        <v>2079</v>
      </c>
      <c r="V784" s="48">
        <v>1.3</v>
      </c>
      <c r="W784" s="46" t="s">
        <v>2081</v>
      </c>
      <c r="X784" s="47" t="s">
        <v>2887</v>
      </c>
      <c r="Y784" s="48">
        <v>1.9</v>
      </c>
      <c r="Z784" s="49" t="s">
        <v>2082</v>
      </c>
      <c r="AA784" s="50" t="s">
        <v>2079</v>
      </c>
      <c r="AB784" s="51">
        <v>1.9</v>
      </c>
    </row>
    <row r="785" spans="1:28" ht="13.5" customHeight="1">
      <c r="A785" s="27"/>
      <c r="B785" s="44"/>
      <c r="C785" s="44"/>
      <c r="D785" s="6"/>
      <c r="E785" s="46" t="s">
        <v>2084</v>
      </c>
      <c r="F785" s="47" t="s">
        <v>2083</v>
      </c>
      <c r="G785" s="48">
        <v>0.9</v>
      </c>
      <c r="H785" s="46" t="s">
        <v>2084</v>
      </c>
      <c r="I785" s="47" t="s">
        <v>2083</v>
      </c>
      <c r="J785" s="48">
        <v>0.7</v>
      </c>
      <c r="K785" s="46" t="s">
        <v>2084</v>
      </c>
      <c r="L785" s="47" t="s">
        <v>2083</v>
      </c>
      <c r="M785" s="48">
        <v>0.8</v>
      </c>
      <c r="N785" s="46" t="s">
        <v>2084</v>
      </c>
      <c r="O785" s="47" t="s">
        <v>2083</v>
      </c>
      <c r="P785" s="48">
        <v>0.7</v>
      </c>
      <c r="Q785" s="46" t="s">
        <v>2084</v>
      </c>
      <c r="R785" s="47" t="s">
        <v>2083</v>
      </c>
      <c r="S785" s="48">
        <v>0.3</v>
      </c>
      <c r="T785" s="46" t="s">
        <v>2084</v>
      </c>
      <c r="U785" s="47" t="s">
        <v>2083</v>
      </c>
      <c r="V785" s="48">
        <v>0.3</v>
      </c>
      <c r="W785" s="46" t="s">
        <v>2085</v>
      </c>
      <c r="X785" s="47" t="s">
        <v>2888</v>
      </c>
      <c r="Y785" s="48">
        <v>1.6</v>
      </c>
      <c r="Z785" s="49" t="s">
        <v>2086</v>
      </c>
      <c r="AA785" s="50" t="s">
        <v>2083</v>
      </c>
      <c r="AB785" s="51">
        <v>1.9</v>
      </c>
    </row>
    <row r="786" spans="1:28" ht="13.5" customHeight="1">
      <c r="A786" s="27"/>
      <c r="B786" s="44"/>
      <c r="C786" s="44"/>
      <c r="D786" s="6"/>
      <c r="E786" s="46" t="s">
        <v>2088</v>
      </c>
      <c r="F786" s="47" t="s">
        <v>2087</v>
      </c>
      <c r="G786" s="48">
        <v>2.2000000000000002</v>
      </c>
      <c r="H786" s="46" t="s">
        <v>2088</v>
      </c>
      <c r="I786" s="47" t="s">
        <v>2087</v>
      </c>
      <c r="J786" s="48">
        <v>1.8</v>
      </c>
      <c r="K786" s="46" t="s">
        <v>2088</v>
      </c>
      <c r="L786" s="47" t="s">
        <v>2087</v>
      </c>
      <c r="M786" s="48">
        <v>2.9</v>
      </c>
      <c r="N786" s="46" t="s">
        <v>2088</v>
      </c>
      <c r="O786" s="47" t="s">
        <v>2087</v>
      </c>
      <c r="P786" s="48">
        <v>2.9</v>
      </c>
      <c r="Q786" s="46" t="s">
        <v>2088</v>
      </c>
      <c r="R786" s="47" t="s">
        <v>2087</v>
      </c>
      <c r="S786" s="48">
        <v>3.3</v>
      </c>
      <c r="T786" s="46" t="s">
        <v>2088</v>
      </c>
      <c r="U786" s="47" t="s">
        <v>2087</v>
      </c>
      <c r="V786" s="48">
        <v>3</v>
      </c>
      <c r="W786" s="46" t="s">
        <v>2089</v>
      </c>
      <c r="X786" s="47" t="s">
        <v>2889</v>
      </c>
      <c r="Y786" s="48">
        <v>2.6</v>
      </c>
      <c r="Z786" s="49" t="s">
        <v>2090</v>
      </c>
      <c r="AA786" s="50" t="s">
        <v>2087</v>
      </c>
      <c r="AB786" s="51">
        <v>1.8</v>
      </c>
    </row>
    <row r="787" spans="1:28" ht="13.5" customHeight="1">
      <c r="A787" s="27"/>
      <c r="B787" s="44"/>
      <c r="C787" s="44"/>
      <c r="D787" s="6"/>
      <c r="E787" s="46"/>
      <c r="F787" s="47"/>
      <c r="G787" s="48"/>
      <c r="H787" s="46"/>
      <c r="I787" s="47"/>
      <c r="J787" s="48"/>
      <c r="K787" s="46"/>
      <c r="L787" s="47"/>
      <c r="M787" s="48"/>
      <c r="N787" s="46"/>
      <c r="O787" s="47"/>
      <c r="P787" s="48"/>
      <c r="Q787" s="46"/>
      <c r="R787" s="47"/>
      <c r="S787" s="48"/>
      <c r="T787" s="46"/>
      <c r="U787" s="47"/>
      <c r="V787" s="48"/>
      <c r="W787" s="46"/>
      <c r="X787" s="47"/>
      <c r="Y787" s="48"/>
      <c r="Z787" s="49"/>
      <c r="AA787" s="50"/>
      <c r="AB787" s="51"/>
    </row>
    <row r="788" spans="1:28" ht="13.5" customHeight="1">
      <c r="A788" s="27"/>
      <c r="B788" s="44"/>
      <c r="C788" s="44"/>
      <c r="D788" s="6"/>
      <c r="E788" s="46" t="s">
        <v>2092</v>
      </c>
      <c r="F788" s="47" t="s">
        <v>2091</v>
      </c>
      <c r="G788" s="48">
        <v>1.5</v>
      </c>
      <c r="H788" s="46" t="s">
        <v>2092</v>
      </c>
      <c r="I788" s="47" t="s">
        <v>2091</v>
      </c>
      <c r="J788" s="48">
        <v>1.1000000000000001</v>
      </c>
      <c r="K788" s="46" t="s">
        <v>2092</v>
      </c>
      <c r="L788" s="47" t="s">
        <v>2091</v>
      </c>
      <c r="M788" s="48">
        <v>2.1</v>
      </c>
      <c r="N788" s="46" t="s">
        <v>2092</v>
      </c>
      <c r="O788" s="47" t="s">
        <v>2091</v>
      </c>
      <c r="P788" s="48">
        <v>2.1</v>
      </c>
      <c r="Q788" s="46" t="s">
        <v>2092</v>
      </c>
      <c r="R788" s="47" t="s">
        <v>2091</v>
      </c>
      <c r="S788" s="48">
        <v>1.6</v>
      </c>
      <c r="T788" s="46" t="s">
        <v>2092</v>
      </c>
      <c r="U788" s="47" t="s">
        <v>2091</v>
      </c>
      <c r="V788" s="48">
        <v>1.4</v>
      </c>
      <c r="W788" s="46" t="s">
        <v>2093</v>
      </c>
      <c r="X788" s="47" t="s">
        <v>2890</v>
      </c>
      <c r="Y788" s="48">
        <v>1.7</v>
      </c>
      <c r="Z788" s="49" t="s">
        <v>2094</v>
      </c>
      <c r="AA788" s="50" t="s">
        <v>2091</v>
      </c>
      <c r="AB788" s="51">
        <v>1.6</v>
      </c>
    </row>
    <row r="789" spans="1:28" ht="13.5" customHeight="1">
      <c r="A789" s="27"/>
      <c r="B789" s="44"/>
      <c r="C789" s="44"/>
      <c r="D789" s="6"/>
      <c r="E789" s="46"/>
      <c r="F789" s="47"/>
      <c r="G789" s="48"/>
      <c r="H789" s="46"/>
      <c r="I789" s="47"/>
      <c r="J789" s="48"/>
      <c r="K789" s="46"/>
      <c r="L789" s="47"/>
      <c r="M789" s="48"/>
      <c r="N789" s="46"/>
      <c r="O789" s="47"/>
      <c r="P789" s="48"/>
      <c r="Q789" s="46"/>
      <c r="R789" s="47"/>
      <c r="S789" s="48"/>
      <c r="T789" s="46"/>
      <c r="U789" s="47"/>
      <c r="V789" s="48"/>
      <c r="W789" s="46"/>
      <c r="X789" s="47"/>
      <c r="Y789" s="48"/>
      <c r="Z789" s="49" t="s">
        <v>2891</v>
      </c>
      <c r="AA789" s="50" t="s">
        <v>2095</v>
      </c>
      <c r="AB789" s="51">
        <v>1.7</v>
      </c>
    </row>
    <row r="790" spans="1:28" ht="13.5" customHeight="1">
      <c r="A790" s="27"/>
      <c r="B790" s="44"/>
      <c r="C790" s="44"/>
      <c r="D790" s="6"/>
      <c r="E790" s="46"/>
      <c r="F790" s="47"/>
      <c r="G790" s="48"/>
      <c r="H790" s="46"/>
      <c r="I790" s="47"/>
      <c r="J790" s="48"/>
      <c r="K790" s="46"/>
      <c r="L790" s="47"/>
      <c r="M790" s="48"/>
      <c r="N790" s="46"/>
      <c r="O790" s="47"/>
      <c r="P790" s="48"/>
      <c r="Q790" s="46"/>
      <c r="R790" s="47"/>
      <c r="S790" s="48"/>
      <c r="T790" s="46"/>
      <c r="U790" s="47"/>
      <c r="V790" s="48"/>
      <c r="W790" s="46"/>
      <c r="X790" s="47"/>
      <c r="Y790" s="48"/>
      <c r="Z790" s="49" t="s">
        <v>2096</v>
      </c>
      <c r="AA790" s="50" t="s">
        <v>2097</v>
      </c>
      <c r="AB790" s="51">
        <v>1.7</v>
      </c>
    </row>
    <row r="791" spans="1:28" ht="13.5" customHeight="1">
      <c r="A791" s="27"/>
      <c r="B791" s="44"/>
      <c r="C791" s="36"/>
      <c r="D791" s="6"/>
      <c r="E791" s="46"/>
      <c r="F791" s="47"/>
      <c r="G791" s="48"/>
      <c r="H791" s="46"/>
      <c r="I791" s="47"/>
      <c r="J791" s="48"/>
      <c r="K791" s="46"/>
      <c r="L791" s="47"/>
      <c r="M791" s="48"/>
      <c r="N791" s="46"/>
      <c r="O791" s="47"/>
      <c r="P791" s="48"/>
      <c r="Q791" s="46"/>
      <c r="R791" s="47"/>
      <c r="S791" s="48"/>
      <c r="T791" s="46"/>
      <c r="U791" s="47"/>
      <c r="V791" s="48"/>
      <c r="W791" s="46"/>
      <c r="X791" s="47"/>
      <c r="Y791" s="48"/>
      <c r="Z791" s="49"/>
      <c r="AA791" s="50"/>
      <c r="AB791" s="51"/>
    </row>
    <row r="792" spans="1:28" ht="13.5" customHeight="1">
      <c r="A792" s="27"/>
      <c r="B792" s="44"/>
      <c r="C792" s="44"/>
      <c r="D792" s="6"/>
      <c r="E792" s="46" t="s">
        <v>2099</v>
      </c>
      <c r="F792" s="47" t="s">
        <v>2098</v>
      </c>
      <c r="G792" s="48">
        <v>2.7</v>
      </c>
      <c r="H792" s="46" t="s">
        <v>2099</v>
      </c>
      <c r="I792" s="47" t="s">
        <v>2098</v>
      </c>
      <c r="J792" s="48">
        <v>2.2000000000000002</v>
      </c>
      <c r="K792" s="46" t="s">
        <v>2099</v>
      </c>
      <c r="L792" s="47" t="s">
        <v>2098</v>
      </c>
      <c r="M792" s="48">
        <v>2.1</v>
      </c>
      <c r="N792" s="46" t="s">
        <v>2099</v>
      </c>
      <c r="O792" s="47" t="s">
        <v>2098</v>
      </c>
      <c r="P792" s="48">
        <v>1.9</v>
      </c>
      <c r="Q792" s="46" t="s">
        <v>2099</v>
      </c>
      <c r="R792" s="47" t="s">
        <v>2098</v>
      </c>
      <c r="S792" s="48">
        <v>1.7</v>
      </c>
      <c r="T792" s="46" t="s">
        <v>2099</v>
      </c>
      <c r="U792" s="47" t="s">
        <v>2098</v>
      </c>
      <c r="V792" s="48">
        <v>1.5</v>
      </c>
      <c r="W792" s="46" t="s">
        <v>2100</v>
      </c>
      <c r="X792" s="47" t="s">
        <v>2892</v>
      </c>
      <c r="Y792" s="48">
        <v>1.6</v>
      </c>
      <c r="Z792" s="49" t="s">
        <v>2101</v>
      </c>
      <c r="AA792" s="50" t="s">
        <v>2098</v>
      </c>
      <c r="AB792" s="51">
        <v>2.1</v>
      </c>
    </row>
    <row r="793" spans="1:28" ht="13.5" customHeight="1">
      <c r="A793" s="27"/>
      <c r="B793" s="44"/>
      <c r="C793" s="44"/>
      <c r="D793" s="6"/>
      <c r="E793" s="46" t="s">
        <v>2103</v>
      </c>
      <c r="F793" s="47" t="s">
        <v>2102</v>
      </c>
      <c r="G793" s="48">
        <v>8.6</v>
      </c>
      <c r="H793" s="46" t="s">
        <v>2103</v>
      </c>
      <c r="I793" s="47" t="s">
        <v>2102</v>
      </c>
      <c r="J793" s="48">
        <v>7</v>
      </c>
      <c r="K793" s="46" t="s">
        <v>2103</v>
      </c>
      <c r="L793" s="47" t="s">
        <v>2102</v>
      </c>
      <c r="M793" s="48">
        <v>5.2</v>
      </c>
      <c r="N793" s="46" t="s">
        <v>2103</v>
      </c>
      <c r="O793" s="47" t="s">
        <v>2102</v>
      </c>
      <c r="P793" s="48">
        <v>4.9000000000000004</v>
      </c>
      <c r="Q793" s="46" t="s">
        <v>2103</v>
      </c>
      <c r="R793" s="47" t="s">
        <v>2102</v>
      </c>
      <c r="S793" s="48">
        <v>4</v>
      </c>
      <c r="T793" s="46" t="s">
        <v>2103</v>
      </c>
      <c r="U793" s="47" t="s">
        <v>2102</v>
      </c>
      <c r="V793" s="48">
        <v>3.7</v>
      </c>
      <c r="W793" s="46" t="s">
        <v>2104</v>
      </c>
      <c r="X793" s="47" t="s">
        <v>2893</v>
      </c>
      <c r="Y793" s="48">
        <v>3.9</v>
      </c>
      <c r="Z793" s="49" t="s">
        <v>2105</v>
      </c>
      <c r="AA793" s="50" t="s">
        <v>2106</v>
      </c>
      <c r="AB793" s="51">
        <v>3.5</v>
      </c>
    </row>
    <row r="794" spans="1:28" ht="13.5" customHeight="1">
      <c r="A794" s="27"/>
      <c r="B794" s="44"/>
      <c r="C794" s="44"/>
      <c r="D794" s="6"/>
      <c r="E794" s="46" t="s">
        <v>2108</v>
      </c>
      <c r="F794" s="47" t="s">
        <v>2107</v>
      </c>
      <c r="G794" s="48">
        <v>4.3</v>
      </c>
      <c r="H794" s="46" t="s">
        <v>2108</v>
      </c>
      <c r="I794" s="47" t="s">
        <v>2107</v>
      </c>
      <c r="J794" s="48">
        <v>3.8000000000000003</v>
      </c>
      <c r="K794" s="46" t="s">
        <v>2108</v>
      </c>
      <c r="L794" s="47" t="s">
        <v>2107</v>
      </c>
      <c r="M794" s="48">
        <v>2.9</v>
      </c>
      <c r="N794" s="46" t="s">
        <v>2108</v>
      </c>
      <c r="O794" s="47" t="s">
        <v>2107</v>
      </c>
      <c r="P794" s="48">
        <v>2.8</v>
      </c>
      <c r="Q794" s="46" t="s">
        <v>2108</v>
      </c>
      <c r="R794" s="47" t="s">
        <v>2107</v>
      </c>
      <c r="S794" s="48">
        <v>1.2</v>
      </c>
      <c r="T794" s="46" t="s">
        <v>2108</v>
      </c>
      <c r="U794" s="47" t="s">
        <v>2107</v>
      </c>
      <c r="V794" s="48">
        <v>1</v>
      </c>
      <c r="W794" s="46" t="s">
        <v>2109</v>
      </c>
      <c r="X794" s="47" t="s">
        <v>2894</v>
      </c>
      <c r="Y794" s="48">
        <v>2.4</v>
      </c>
      <c r="Z794" s="49" t="s">
        <v>2110</v>
      </c>
      <c r="AA794" s="50" t="s">
        <v>2107</v>
      </c>
      <c r="AB794" s="51">
        <v>3.4</v>
      </c>
    </row>
    <row r="795" spans="1:28" ht="13.5" customHeight="1">
      <c r="A795" s="27"/>
      <c r="B795" s="44"/>
      <c r="C795" s="44"/>
      <c r="D795" s="6"/>
      <c r="E795" s="46" t="s">
        <v>2112</v>
      </c>
      <c r="F795" s="47" t="s">
        <v>2111</v>
      </c>
      <c r="G795" s="48">
        <v>4.0999999999999996</v>
      </c>
      <c r="H795" s="46" t="s">
        <v>2112</v>
      </c>
      <c r="I795" s="47" t="s">
        <v>2111</v>
      </c>
      <c r="J795" s="48">
        <v>4.0999999999999996</v>
      </c>
      <c r="K795" s="46" t="s">
        <v>2112</v>
      </c>
      <c r="L795" s="47" t="s">
        <v>2111</v>
      </c>
      <c r="M795" s="48">
        <v>3.5</v>
      </c>
      <c r="N795" s="46" t="s">
        <v>2112</v>
      </c>
      <c r="O795" s="47" t="s">
        <v>2111</v>
      </c>
      <c r="P795" s="48">
        <v>3.4</v>
      </c>
      <c r="Q795" s="46" t="s">
        <v>2112</v>
      </c>
      <c r="R795" s="47" t="s">
        <v>2111</v>
      </c>
      <c r="S795" s="48">
        <v>4.3</v>
      </c>
      <c r="T795" s="46" t="s">
        <v>2112</v>
      </c>
      <c r="U795" s="47" t="s">
        <v>2111</v>
      </c>
      <c r="V795" s="48">
        <v>3.6</v>
      </c>
      <c r="W795" s="46" t="s">
        <v>2113</v>
      </c>
      <c r="X795" s="47" t="s">
        <v>2895</v>
      </c>
      <c r="Y795" s="48">
        <v>3.5</v>
      </c>
      <c r="Z795" s="49" t="s">
        <v>2114</v>
      </c>
      <c r="AA795" s="50" t="s">
        <v>2111</v>
      </c>
      <c r="AB795" s="51">
        <v>2.8</v>
      </c>
    </row>
    <row r="796" spans="1:28" ht="13.5" customHeight="1">
      <c r="A796" s="27"/>
      <c r="B796" s="44"/>
      <c r="C796" s="44"/>
      <c r="D796" s="6"/>
      <c r="E796" s="46" t="s">
        <v>2116</v>
      </c>
      <c r="F796" s="47" t="s">
        <v>2115</v>
      </c>
      <c r="G796" s="48">
        <v>1.5</v>
      </c>
      <c r="H796" s="46" t="s">
        <v>2116</v>
      </c>
      <c r="I796" s="47" t="s">
        <v>2115</v>
      </c>
      <c r="J796" s="48">
        <v>1.1000000000000001</v>
      </c>
      <c r="K796" s="46" t="s">
        <v>2116</v>
      </c>
      <c r="L796" s="47" t="s">
        <v>2115</v>
      </c>
      <c r="M796" s="48">
        <v>1.6</v>
      </c>
      <c r="N796" s="46" t="s">
        <v>2116</v>
      </c>
      <c r="O796" s="47" t="s">
        <v>2115</v>
      </c>
      <c r="P796" s="48">
        <v>1.6</v>
      </c>
      <c r="Q796" s="46" t="s">
        <v>2116</v>
      </c>
      <c r="R796" s="47" t="s">
        <v>2115</v>
      </c>
      <c r="S796" s="48">
        <v>0.9</v>
      </c>
      <c r="T796" s="46" t="s">
        <v>2116</v>
      </c>
      <c r="U796" s="47" t="s">
        <v>2115</v>
      </c>
      <c r="V796" s="48">
        <v>0.8</v>
      </c>
      <c r="W796" s="46" t="s">
        <v>2117</v>
      </c>
      <c r="X796" s="47" t="s">
        <v>2896</v>
      </c>
      <c r="Y796" s="48">
        <v>1.6</v>
      </c>
      <c r="Z796" s="49"/>
      <c r="AA796" s="50"/>
      <c r="AB796" s="51"/>
    </row>
    <row r="797" spans="1:28" ht="13.5" customHeight="1">
      <c r="A797" s="27"/>
      <c r="B797" s="44"/>
      <c r="C797" s="44"/>
      <c r="D797" s="6"/>
      <c r="E797" s="46" t="s">
        <v>2119</v>
      </c>
      <c r="F797" s="47" t="s">
        <v>2118</v>
      </c>
      <c r="G797" s="48">
        <v>1.7</v>
      </c>
      <c r="H797" s="46" t="s">
        <v>2119</v>
      </c>
      <c r="I797" s="47" t="s">
        <v>2118</v>
      </c>
      <c r="J797" s="48">
        <v>1.3</v>
      </c>
      <c r="K797" s="46" t="s">
        <v>2119</v>
      </c>
      <c r="L797" s="47" t="s">
        <v>2118</v>
      </c>
      <c r="M797" s="48">
        <v>0.6</v>
      </c>
      <c r="N797" s="46" t="s">
        <v>2119</v>
      </c>
      <c r="O797" s="47" t="s">
        <v>2118</v>
      </c>
      <c r="P797" s="48">
        <v>0.6</v>
      </c>
      <c r="Q797" s="46" t="s">
        <v>2119</v>
      </c>
      <c r="R797" s="47" t="s">
        <v>2118</v>
      </c>
      <c r="S797" s="48">
        <v>0.7</v>
      </c>
      <c r="T797" s="46" t="s">
        <v>2119</v>
      </c>
      <c r="U797" s="47" t="s">
        <v>2118</v>
      </c>
      <c r="V797" s="48">
        <v>0.7</v>
      </c>
      <c r="W797" s="46" t="s">
        <v>2120</v>
      </c>
      <c r="X797" s="47" t="s">
        <v>2897</v>
      </c>
      <c r="Y797" s="48">
        <v>2</v>
      </c>
      <c r="Z797" s="49"/>
      <c r="AA797" s="50"/>
      <c r="AB797" s="51"/>
    </row>
    <row r="798" spans="1:28" ht="13.5" customHeight="1">
      <c r="A798" s="27"/>
      <c r="B798" s="44"/>
      <c r="C798" s="44"/>
      <c r="D798" s="6"/>
      <c r="E798" s="46" t="s">
        <v>2122</v>
      </c>
      <c r="F798" s="47" t="s">
        <v>2121</v>
      </c>
      <c r="G798" s="48">
        <v>2.7</v>
      </c>
      <c r="H798" s="46" t="s">
        <v>2122</v>
      </c>
      <c r="I798" s="47" t="s">
        <v>2121</v>
      </c>
      <c r="J798" s="48">
        <v>2.7</v>
      </c>
      <c r="K798" s="46" t="s">
        <v>2122</v>
      </c>
      <c r="L798" s="47" t="s">
        <v>2121</v>
      </c>
      <c r="M798" s="48">
        <v>2.9</v>
      </c>
      <c r="N798" s="46" t="s">
        <v>2122</v>
      </c>
      <c r="O798" s="47" t="s">
        <v>2121</v>
      </c>
      <c r="P798" s="48">
        <v>2.8</v>
      </c>
      <c r="Q798" s="46" t="s">
        <v>2122</v>
      </c>
      <c r="R798" s="47" t="s">
        <v>2121</v>
      </c>
      <c r="S798" s="48">
        <v>3</v>
      </c>
      <c r="T798" s="46" t="s">
        <v>2122</v>
      </c>
      <c r="U798" s="47" t="s">
        <v>2121</v>
      </c>
      <c r="V798" s="48">
        <v>3</v>
      </c>
      <c r="W798" s="46" t="s">
        <v>2123</v>
      </c>
      <c r="X798" s="47" t="s">
        <v>2898</v>
      </c>
      <c r="Y798" s="48">
        <v>2.9</v>
      </c>
      <c r="Z798" s="49" t="s">
        <v>2124</v>
      </c>
      <c r="AA798" s="50" t="s">
        <v>2121</v>
      </c>
      <c r="AB798" s="51">
        <v>2.6</v>
      </c>
    </row>
    <row r="799" spans="1:28" ht="13.5" customHeight="1">
      <c r="A799" s="27"/>
      <c r="B799" s="44"/>
      <c r="C799" s="44"/>
      <c r="D799" s="6"/>
      <c r="E799" s="46" t="s">
        <v>2126</v>
      </c>
      <c r="F799" s="47" t="s">
        <v>2125</v>
      </c>
      <c r="G799" s="48">
        <v>0.7</v>
      </c>
      <c r="H799" s="46" t="s">
        <v>2126</v>
      </c>
      <c r="I799" s="47" t="s">
        <v>2125</v>
      </c>
      <c r="J799" s="48">
        <v>0.7</v>
      </c>
      <c r="K799" s="46" t="s">
        <v>2126</v>
      </c>
      <c r="L799" s="47" t="s">
        <v>2125</v>
      </c>
      <c r="M799" s="48">
        <v>0.9</v>
      </c>
      <c r="N799" s="46" t="s">
        <v>2126</v>
      </c>
      <c r="O799" s="47" t="s">
        <v>2125</v>
      </c>
      <c r="P799" s="48">
        <v>0.8</v>
      </c>
      <c r="Q799" s="46" t="s">
        <v>2126</v>
      </c>
      <c r="R799" s="47" t="s">
        <v>2125</v>
      </c>
      <c r="S799" s="48">
        <v>0.9</v>
      </c>
      <c r="T799" s="46" t="s">
        <v>2126</v>
      </c>
      <c r="U799" s="47" t="s">
        <v>2125</v>
      </c>
      <c r="V799" s="48">
        <v>0.8</v>
      </c>
      <c r="W799" s="46" t="s">
        <v>2127</v>
      </c>
      <c r="X799" s="47" t="s">
        <v>2899</v>
      </c>
      <c r="Y799" s="48">
        <v>1.7</v>
      </c>
      <c r="Z799" s="49" t="s">
        <v>2128</v>
      </c>
      <c r="AA799" s="50" t="s">
        <v>2125</v>
      </c>
      <c r="AB799" s="51">
        <v>2.6</v>
      </c>
    </row>
    <row r="800" spans="1:28" ht="13.5" customHeight="1">
      <c r="A800" s="27"/>
      <c r="B800" s="44"/>
      <c r="C800" s="44"/>
      <c r="D800" s="7"/>
      <c r="E800" s="46" t="s">
        <v>2130</v>
      </c>
      <c r="F800" s="47" t="s">
        <v>2129</v>
      </c>
      <c r="G800" s="48">
        <v>3.4</v>
      </c>
      <c r="H800" s="46" t="s">
        <v>2130</v>
      </c>
      <c r="I800" s="47" t="s">
        <v>2129</v>
      </c>
      <c r="J800" s="48">
        <v>3.2</v>
      </c>
      <c r="K800" s="46" t="s">
        <v>2130</v>
      </c>
      <c r="L800" s="47" t="s">
        <v>2129</v>
      </c>
      <c r="M800" s="48">
        <v>3.5</v>
      </c>
      <c r="N800" s="46" t="s">
        <v>2130</v>
      </c>
      <c r="O800" s="47" t="s">
        <v>2129</v>
      </c>
      <c r="P800" s="48">
        <v>3.4</v>
      </c>
      <c r="Q800" s="46" t="s">
        <v>2130</v>
      </c>
      <c r="R800" s="47" t="s">
        <v>2129</v>
      </c>
      <c r="S800" s="48">
        <v>2.6</v>
      </c>
      <c r="T800" s="46" t="s">
        <v>2130</v>
      </c>
      <c r="U800" s="47" t="s">
        <v>2129</v>
      </c>
      <c r="V800" s="48">
        <v>2.5</v>
      </c>
      <c r="W800" s="46" t="s">
        <v>2131</v>
      </c>
      <c r="X800" s="47" t="s">
        <v>2900</v>
      </c>
      <c r="Y800" s="48">
        <v>2.8</v>
      </c>
      <c r="Z800" s="49" t="s">
        <v>2132</v>
      </c>
      <c r="AA800" s="50" t="s">
        <v>2129</v>
      </c>
      <c r="AB800" s="51">
        <v>2.6</v>
      </c>
    </row>
    <row r="801" spans="1:28" ht="13.5" customHeight="1">
      <c r="A801" s="27"/>
      <c r="B801" s="44"/>
      <c r="C801" s="44"/>
      <c r="D801" s="6"/>
      <c r="E801" s="46"/>
      <c r="F801" s="47"/>
      <c r="G801" s="48"/>
      <c r="H801" s="46"/>
      <c r="I801" s="47"/>
      <c r="J801" s="48"/>
      <c r="K801" s="46"/>
      <c r="L801" s="47"/>
      <c r="M801" s="48"/>
      <c r="N801" s="46"/>
      <c r="O801" s="47"/>
      <c r="P801" s="48"/>
      <c r="Q801" s="46"/>
      <c r="R801" s="47"/>
      <c r="S801" s="48"/>
      <c r="T801" s="46"/>
      <c r="U801" s="47"/>
      <c r="V801" s="48"/>
      <c r="W801" s="46" t="s">
        <v>2133</v>
      </c>
      <c r="X801" s="47" t="s">
        <v>2901</v>
      </c>
      <c r="Y801" s="48">
        <v>1.7</v>
      </c>
      <c r="Z801" s="49"/>
      <c r="AA801" s="50"/>
      <c r="AB801" s="51"/>
    </row>
    <row r="802" spans="1:28" ht="13.5" customHeight="1">
      <c r="A802" s="27"/>
      <c r="B802" s="44"/>
      <c r="C802" s="44"/>
      <c r="D802" s="6"/>
      <c r="E802" s="46"/>
      <c r="F802" s="47"/>
      <c r="G802" s="48"/>
      <c r="H802" s="46"/>
      <c r="I802" s="47"/>
      <c r="J802" s="48"/>
      <c r="K802" s="46"/>
      <c r="L802" s="47"/>
      <c r="M802" s="48"/>
      <c r="N802" s="46"/>
      <c r="O802" s="47"/>
      <c r="P802" s="48"/>
      <c r="Q802" s="46"/>
      <c r="R802" s="47"/>
      <c r="S802" s="48"/>
      <c r="T802" s="46"/>
      <c r="U802" s="47"/>
      <c r="V802" s="48"/>
      <c r="W802" s="46" t="s">
        <v>2134</v>
      </c>
      <c r="X802" s="47" t="s">
        <v>2902</v>
      </c>
      <c r="Y802" s="48">
        <v>1.7</v>
      </c>
      <c r="Z802" s="49"/>
      <c r="AA802" s="50"/>
      <c r="AB802" s="51"/>
    </row>
    <row r="803" spans="1:28" ht="13.5" customHeight="1">
      <c r="A803" s="27"/>
      <c r="B803" s="44"/>
      <c r="C803" s="44"/>
      <c r="D803" s="6"/>
      <c r="E803" s="46"/>
      <c r="F803" s="47"/>
      <c r="G803" s="48"/>
      <c r="H803" s="46"/>
      <c r="I803" s="47"/>
      <c r="J803" s="48"/>
      <c r="K803" s="46"/>
      <c r="L803" s="47"/>
      <c r="M803" s="48"/>
      <c r="N803" s="46"/>
      <c r="O803" s="47"/>
      <c r="P803" s="48"/>
      <c r="Q803" s="46"/>
      <c r="R803" s="47"/>
      <c r="S803" s="48"/>
      <c r="T803" s="46"/>
      <c r="U803" s="47"/>
      <c r="V803" s="48"/>
      <c r="W803" s="46" t="s">
        <v>2135</v>
      </c>
      <c r="X803" s="47" t="s">
        <v>2903</v>
      </c>
      <c r="Y803" s="48">
        <v>1.9</v>
      </c>
      <c r="Z803" s="49" t="s">
        <v>2136</v>
      </c>
      <c r="AA803" s="50" t="s">
        <v>2137</v>
      </c>
      <c r="AB803" s="51">
        <v>0.7</v>
      </c>
    </row>
    <row r="804" spans="1:28" ht="13.5" customHeight="1">
      <c r="A804" s="27"/>
      <c r="B804" s="44"/>
      <c r="C804" s="44"/>
      <c r="D804" s="6"/>
      <c r="E804" s="46" t="s">
        <v>2143</v>
      </c>
      <c r="F804" s="47" t="s">
        <v>2138</v>
      </c>
      <c r="G804" s="48">
        <v>8.8000000000000007</v>
      </c>
      <c r="H804" s="46" t="s">
        <v>2143</v>
      </c>
      <c r="I804" s="47" t="s">
        <v>2138</v>
      </c>
      <c r="J804" s="48">
        <v>7.2</v>
      </c>
      <c r="K804" s="46" t="s">
        <v>2139</v>
      </c>
      <c r="L804" s="47" t="s">
        <v>2138</v>
      </c>
      <c r="M804" s="48">
        <v>6.9</v>
      </c>
      <c r="N804" s="46" t="s">
        <v>2139</v>
      </c>
      <c r="O804" s="47" t="s">
        <v>2138</v>
      </c>
      <c r="P804" s="48">
        <v>4.8</v>
      </c>
      <c r="Q804" s="46" t="s">
        <v>2139</v>
      </c>
      <c r="R804" s="47" t="s">
        <v>2138</v>
      </c>
      <c r="S804" s="48">
        <v>3.5</v>
      </c>
      <c r="T804" s="46" t="s">
        <v>2139</v>
      </c>
      <c r="U804" s="47" t="s">
        <v>2138</v>
      </c>
      <c r="V804" s="48">
        <v>2.5</v>
      </c>
      <c r="W804" s="46" t="s">
        <v>2140</v>
      </c>
      <c r="X804" s="47" t="s">
        <v>2904</v>
      </c>
      <c r="Y804" s="48">
        <v>2.2999999999999998</v>
      </c>
      <c r="Z804" s="49" t="s">
        <v>2141</v>
      </c>
      <c r="AA804" s="50" t="s">
        <v>2138</v>
      </c>
      <c r="AB804" s="51">
        <v>2.9</v>
      </c>
    </row>
    <row r="805" spans="1:28" ht="13.5" customHeight="1">
      <c r="A805" s="27"/>
      <c r="B805" s="44"/>
      <c r="C805" s="44"/>
      <c r="D805" s="6"/>
      <c r="E805" s="46"/>
      <c r="F805" s="47"/>
      <c r="G805" s="48"/>
      <c r="H805" s="46"/>
      <c r="I805" s="47"/>
      <c r="J805" s="48"/>
      <c r="K805" s="46" t="s">
        <v>2143</v>
      </c>
      <c r="L805" s="47" t="s">
        <v>2142</v>
      </c>
      <c r="M805" s="48">
        <v>0.8</v>
      </c>
      <c r="N805" s="46" t="s">
        <v>2143</v>
      </c>
      <c r="O805" s="47" t="s">
        <v>2142</v>
      </c>
      <c r="P805" s="48">
        <v>0.5</v>
      </c>
      <c r="Q805" s="46" t="s">
        <v>2143</v>
      </c>
      <c r="R805" s="47" t="s">
        <v>2142</v>
      </c>
      <c r="S805" s="48">
        <v>0.4</v>
      </c>
      <c r="T805" s="46" t="s">
        <v>2143</v>
      </c>
      <c r="U805" s="47" t="s">
        <v>2142</v>
      </c>
      <c r="V805" s="48">
        <v>0.3</v>
      </c>
      <c r="W805" s="46" t="s">
        <v>2144</v>
      </c>
      <c r="X805" s="47" t="s">
        <v>2905</v>
      </c>
      <c r="Y805" s="48">
        <v>1.3</v>
      </c>
      <c r="Z805" s="49" t="s">
        <v>2145</v>
      </c>
      <c r="AA805" s="50" t="s">
        <v>2142</v>
      </c>
      <c r="AB805" s="51">
        <v>2.9</v>
      </c>
    </row>
    <row r="806" spans="1:28" ht="13.5" customHeight="1">
      <c r="A806" s="27"/>
      <c r="B806" s="44"/>
      <c r="C806" s="44"/>
      <c r="D806" s="6"/>
      <c r="E806" s="46"/>
      <c r="F806" s="47"/>
      <c r="G806" s="48"/>
      <c r="H806" s="46"/>
      <c r="I806" s="47"/>
      <c r="J806" s="48"/>
      <c r="K806" s="46"/>
      <c r="L806" s="47"/>
      <c r="M806" s="48"/>
      <c r="N806" s="46"/>
      <c r="O806" s="47"/>
      <c r="P806" s="48"/>
      <c r="Q806" s="46"/>
      <c r="R806" s="47"/>
      <c r="S806" s="48"/>
      <c r="T806" s="46"/>
      <c r="U806" s="47"/>
      <c r="V806" s="48"/>
      <c r="W806" s="46"/>
      <c r="X806" s="47"/>
      <c r="Y806" s="48"/>
      <c r="Z806" s="49"/>
      <c r="AA806" s="50"/>
      <c r="AB806" s="51"/>
    </row>
    <row r="807" spans="1:28" ht="13.5" customHeight="1">
      <c r="A807" s="27"/>
      <c r="B807" s="44"/>
      <c r="C807" s="44"/>
      <c r="D807" s="6"/>
      <c r="E807" s="46" t="s">
        <v>2182</v>
      </c>
      <c r="F807" s="47" t="s">
        <v>2146</v>
      </c>
      <c r="G807" s="48">
        <v>4.8</v>
      </c>
      <c r="H807" s="46" t="s">
        <v>2182</v>
      </c>
      <c r="I807" s="47" t="s">
        <v>2146</v>
      </c>
      <c r="J807" s="48">
        <v>5.4</v>
      </c>
      <c r="K807" s="46" t="s">
        <v>2147</v>
      </c>
      <c r="L807" s="47" t="s">
        <v>2146</v>
      </c>
      <c r="M807" s="48">
        <v>6.5</v>
      </c>
      <c r="N807" s="46" t="s">
        <v>2147</v>
      </c>
      <c r="O807" s="47" t="s">
        <v>2146</v>
      </c>
      <c r="P807" s="48">
        <v>8.3000000000000007</v>
      </c>
      <c r="Q807" s="46" t="s">
        <v>2147</v>
      </c>
      <c r="R807" s="47" t="s">
        <v>2146</v>
      </c>
      <c r="S807" s="48">
        <v>8.4</v>
      </c>
      <c r="T807" s="46" t="s">
        <v>2147</v>
      </c>
      <c r="U807" s="47" t="s">
        <v>2146</v>
      </c>
      <c r="V807" s="48">
        <v>8.5</v>
      </c>
      <c r="W807" s="46" t="s">
        <v>2148</v>
      </c>
      <c r="X807" s="47" t="s">
        <v>2906</v>
      </c>
      <c r="Y807" s="48">
        <v>4</v>
      </c>
      <c r="Z807" s="49" t="s">
        <v>2149</v>
      </c>
      <c r="AA807" s="50" t="s">
        <v>2150</v>
      </c>
      <c r="AB807" s="51">
        <v>2.6</v>
      </c>
    </row>
    <row r="808" spans="1:28" ht="13.5" customHeight="1">
      <c r="A808" s="27"/>
      <c r="B808" s="44"/>
      <c r="C808" s="36"/>
      <c r="D808" s="6"/>
      <c r="E808" s="46"/>
      <c r="F808" s="47"/>
      <c r="G808" s="48"/>
      <c r="H808" s="46"/>
      <c r="I808" s="47"/>
      <c r="J808" s="48"/>
      <c r="K808" s="46"/>
      <c r="L808" s="47"/>
      <c r="M808" s="48"/>
      <c r="N808" s="46"/>
      <c r="O808" s="47"/>
      <c r="P808" s="48"/>
      <c r="Q808" s="46"/>
      <c r="R808" s="47"/>
      <c r="S808" s="48"/>
      <c r="T808" s="46"/>
      <c r="U808" s="47"/>
      <c r="V808" s="48"/>
      <c r="W808" s="46" t="s">
        <v>2151</v>
      </c>
      <c r="X808" s="47" t="s">
        <v>2907</v>
      </c>
      <c r="Y808" s="48">
        <v>10.6</v>
      </c>
      <c r="Z808" s="49" t="s">
        <v>2152</v>
      </c>
      <c r="AA808" s="50" t="s">
        <v>2146</v>
      </c>
      <c r="AB808" s="51">
        <v>4.5</v>
      </c>
    </row>
    <row r="809" spans="1:28" ht="13.5" customHeight="1">
      <c r="A809" s="27"/>
      <c r="B809" s="44"/>
      <c r="C809" s="36"/>
      <c r="D809" s="6"/>
      <c r="E809" s="46" t="s">
        <v>2147</v>
      </c>
      <c r="F809" s="47" t="s">
        <v>2153</v>
      </c>
      <c r="G809" s="48">
        <v>2.5</v>
      </c>
      <c r="H809" s="46" t="s">
        <v>2147</v>
      </c>
      <c r="I809" s="47" t="s">
        <v>2153</v>
      </c>
      <c r="J809" s="48">
        <v>2.8</v>
      </c>
      <c r="K809" s="46" t="s">
        <v>2154</v>
      </c>
      <c r="L809" s="47" t="s">
        <v>2153</v>
      </c>
      <c r="M809" s="48">
        <v>3.3</v>
      </c>
      <c r="N809" s="46" t="s">
        <v>2154</v>
      </c>
      <c r="O809" s="47" t="s">
        <v>2153</v>
      </c>
      <c r="P809" s="48">
        <v>4.3</v>
      </c>
      <c r="Q809" s="46" t="s">
        <v>2154</v>
      </c>
      <c r="R809" s="47" t="s">
        <v>2153</v>
      </c>
      <c r="S809" s="48">
        <v>4.5999999999999996</v>
      </c>
      <c r="T809" s="46" t="s">
        <v>2154</v>
      </c>
      <c r="U809" s="47" t="s">
        <v>2153</v>
      </c>
      <c r="V809" s="48">
        <v>5</v>
      </c>
      <c r="W809" s="46" t="s">
        <v>2155</v>
      </c>
      <c r="X809" s="47" t="s">
        <v>2908</v>
      </c>
      <c r="Y809" s="48">
        <v>9.4</v>
      </c>
      <c r="Z809" s="49" t="s">
        <v>2156</v>
      </c>
      <c r="AA809" s="50" t="s">
        <v>2153</v>
      </c>
      <c r="AB809" s="51">
        <v>3.9</v>
      </c>
    </row>
    <row r="810" spans="1:28" ht="13.5" customHeight="1">
      <c r="A810" s="27"/>
      <c r="B810" s="44"/>
      <c r="C810" s="36"/>
      <c r="D810" s="6"/>
      <c r="E810" s="46"/>
      <c r="F810" s="47"/>
      <c r="G810" s="48"/>
      <c r="H810" s="46"/>
      <c r="I810" s="47"/>
      <c r="J810" s="48"/>
      <c r="K810" s="46"/>
      <c r="L810" s="47"/>
      <c r="M810" s="48"/>
      <c r="N810" s="46"/>
      <c r="O810" s="47"/>
      <c r="P810" s="48"/>
      <c r="Q810" s="46"/>
      <c r="R810" s="47"/>
      <c r="S810" s="48"/>
      <c r="T810" s="46"/>
      <c r="U810" s="47"/>
      <c r="V810" s="48"/>
      <c r="W810" s="46" t="s">
        <v>2157</v>
      </c>
      <c r="X810" s="47" t="s">
        <v>2909</v>
      </c>
      <c r="Y810" s="48">
        <v>2.2000000000000002</v>
      </c>
      <c r="Z810" s="49"/>
      <c r="AA810" s="50"/>
      <c r="AB810" s="51"/>
    </row>
    <row r="811" spans="1:28" ht="13.5" customHeight="1">
      <c r="A811" s="27"/>
      <c r="B811" s="44"/>
      <c r="C811" s="36"/>
      <c r="D811" s="6"/>
      <c r="E811" s="46"/>
      <c r="F811" s="47"/>
      <c r="G811" s="48"/>
      <c r="H811" s="46"/>
      <c r="I811" s="47"/>
      <c r="J811" s="48"/>
      <c r="K811" s="46"/>
      <c r="L811" s="47"/>
      <c r="M811" s="48"/>
      <c r="N811" s="46"/>
      <c r="O811" s="47"/>
      <c r="P811" s="48"/>
      <c r="Q811" s="46"/>
      <c r="R811" s="47"/>
      <c r="S811" s="48"/>
      <c r="T811" s="46"/>
      <c r="U811" s="47"/>
      <c r="V811" s="48"/>
      <c r="W811" s="46" t="s">
        <v>2158</v>
      </c>
      <c r="X811" s="47" t="s">
        <v>2910</v>
      </c>
      <c r="Y811" s="48">
        <v>1.8</v>
      </c>
      <c r="Z811" s="49"/>
      <c r="AA811" s="50"/>
      <c r="AB811" s="51"/>
    </row>
    <row r="812" spans="1:28" ht="13.5" customHeight="1">
      <c r="A812" s="27"/>
      <c r="B812" s="44"/>
      <c r="C812" s="36"/>
      <c r="D812" s="6"/>
      <c r="E812" s="46"/>
      <c r="F812" s="47"/>
      <c r="G812" s="48"/>
      <c r="H812" s="46"/>
      <c r="I812" s="47"/>
      <c r="J812" s="48"/>
      <c r="K812" s="46"/>
      <c r="L812" s="47"/>
      <c r="M812" s="48"/>
      <c r="N812" s="46"/>
      <c r="O812" s="47"/>
      <c r="P812" s="48"/>
      <c r="Q812" s="46"/>
      <c r="R812" s="47"/>
      <c r="S812" s="48"/>
      <c r="T812" s="46"/>
      <c r="U812" s="47"/>
      <c r="V812" s="48"/>
      <c r="W812" s="46"/>
      <c r="X812" s="47"/>
      <c r="Y812" s="48"/>
      <c r="Z812" s="49" t="s">
        <v>2159</v>
      </c>
      <c r="AA812" s="50" t="s">
        <v>2160</v>
      </c>
      <c r="AB812" s="51">
        <v>2.1</v>
      </c>
    </row>
    <row r="813" spans="1:28" ht="13.5" customHeight="1">
      <c r="A813" s="27"/>
      <c r="B813" s="44"/>
      <c r="C813" s="36"/>
      <c r="D813" s="6"/>
      <c r="E813" s="46" t="s">
        <v>2973</v>
      </c>
      <c r="F813" s="47" t="s">
        <v>2162</v>
      </c>
      <c r="G813" s="48">
        <v>0.6</v>
      </c>
      <c r="H813" s="46" t="s">
        <v>2973</v>
      </c>
      <c r="I813" s="47" t="s">
        <v>2162</v>
      </c>
      <c r="J813" s="48">
        <v>0.3</v>
      </c>
      <c r="K813" s="46" t="s">
        <v>2973</v>
      </c>
      <c r="L813" s="47" t="s">
        <v>2911</v>
      </c>
      <c r="M813" s="48">
        <v>0.3</v>
      </c>
      <c r="N813" s="46" t="s">
        <v>2973</v>
      </c>
      <c r="O813" s="47" t="s">
        <v>2911</v>
      </c>
      <c r="P813" s="48">
        <v>0.3</v>
      </c>
      <c r="Q813" s="46"/>
      <c r="R813" s="47"/>
      <c r="S813" s="48"/>
      <c r="T813" s="46"/>
      <c r="U813" s="47"/>
      <c r="V813" s="48"/>
      <c r="W813" s="46"/>
      <c r="X813" s="47"/>
      <c r="Y813" s="48"/>
      <c r="Z813" s="49" t="s">
        <v>2161</v>
      </c>
      <c r="AA813" s="50" t="s">
        <v>2162</v>
      </c>
      <c r="AB813" s="51">
        <v>2.4</v>
      </c>
    </row>
    <row r="814" spans="1:28" ht="13.5" customHeight="1">
      <c r="A814" s="27"/>
      <c r="B814" s="44"/>
      <c r="C814" s="36"/>
      <c r="D814" s="6"/>
      <c r="E814" s="46"/>
      <c r="F814" s="47"/>
      <c r="G814" s="48"/>
      <c r="H814" s="46"/>
      <c r="I814" s="47"/>
      <c r="J814" s="48"/>
      <c r="K814" s="46" t="s">
        <v>2164</v>
      </c>
      <c r="L814" s="47" t="s">
        <v>2163</v>
      </c>
      <c r="M814" s="48">
        <v>2</v>
      </c>
      <c r="N814" s="46" t="s">
        <v>2164</v>
      </c>
      <c r="O814" s="47" t="s">
        <v>2163</v>
      </c>
      <c r="P814" s="48">
        <v>4</v>
      </c>
      <c r="Q814" s="46" t="s">
        <v>2164</v>
      </c>
      <c r="R814" s="47" t="s">
        <v>2163</v>
      </c>
      <c r="S814" s="48">
        <v>5.4</v>
      </c>
      <c r="T814" s="46" t="s">
        <v>2164</v>
      </c>
      <c r="U814" s="47" t="s">
        <v>2163</v>
      </c>
      <c r="V814" s="48">
        <v>7.9</v>
      </c>
      <c r="W814" s="46" t="s">
        <v>2165</v>
      </c>
      <c r="X814" s="47" t="s">
        <v>2912</v>
      </c>
      <c r="Y814" s="48">
        <v>9.8000000000000007</v>
      </c>
      <c r="Z814" s="49" t="s">
        <v>2166</v>
      </c>
      <c r="AA814" s="50" t="s">
        <v>2163</v>
      </c>
      <c r="AB814" s="51">
        <v>6.6</v>
      </c>
    </row>
    <row r="815" spans="1:28" ht="13.5" customHeight="1">
      <c r="A815" s="27"/>
      <c r="B815" s="44"/>
      <c r="C815" s="36"/>
      <c r="D815" s="6"/>
      <c r="E815" s="46" t="s">
        <v>2168</v>
      </c>
      <c r="F815" s="155" t="s">
        <v>2167</v>
      </c>
      <c r="G815" s="48">
        <v>11.9</v>
      </c>
      <c r="H815" s="46" t="s">
        <v>2168</v>
      </c>
      <c r="I815" s="155" t="s">
        <v>2167</v>
      </c>
      <c r="J815" s="48">
        <v>11.9</v>
      </c>
      <c r="K815" s="46" t="s">
        <v>2168</v>
      </c>
      <c r="L815" s="155" t="s">
        <v>2167</v>
      </c>
      <c r="M815" s="48">
        <v>12.9</v>
      </c>
      <c r="N815" s="46" t="s">
        <v>2168</v>
      </c>
      <c r="O815" s="155" t="s">
        <v>2167</v>
      </c>
      <c r="P815" s="48">
        <v>13.6</v>
      </c>
      <c r="Q815" s="46" t="s">
        <v>2168</v>
      </c>
      <c r="R815" s="155" t="s">
        <v>2167</v>
      </c>
      <c r="S815" s="157">
        <v>9.6999999999999993</v>
      </c>
      <c r="T815" s="46" t="s">
        <v>2168</v>
      </c>
      <c r="U815" s="155" t="s">
        <v>2167</v>
      </c>
      <c r="V815" s="157">
        <v>8.9</v>
      </c>
      <c r="W815" s="156" t="s">
        <v>2169</v>
      </c>
      <c r="X815" s="155" t="s">
        <v>2913</v>
      </c>
      <c r="Y815" s="157">
        <v>5.7</v>
      </c>
      <c r="Z815" s="158" t="s">
        <v>2170</v>
      </c>
      <c r="AA815" s="159" t="s">
        <v>2167</v>
      </c>
      <c r="AB815" s="160">
        <v>6.5</v>
      </c>
    </row>
    <row r="816" spans="1:28" ht="13.5" customHeight="1">
      <c r="A816" s="27"/>
      <c r="B816" s="44"/>
      <c r="C816" s="36"/>
      <c r="D816" s="6"/>
      <c r="E816" s="46" t="s">
        <v>2172</v>
      </c>
      <c r="F816" s="210" t="s">
        <v>2171</v>
      </c>
      <c r="G816" s="48">
        <v>4.0999999999999996</v>
      </c>
      <c r="H816" s="46" t="s">
        <v>2172</v>
      </c>
      <c r="I816" s="210" t="s">
        <v>2171</v>
      </c>
      <c r="J816" s="48">
        <v>3.7</v>
      </c>
      <c r="K816" s="46" t="s">
        <v>2172</v>
      </c>
      <c r="L816" s="210" t="s">
        <v>2171</v>
      </c>
      <c r="M816" s="48">
        <v>2.8</v>
      </c>
      <c r="N816" s="46" t="s">
        <v>2172</v>
      </c>
      <c r="O816" s="210" t="s">
        <v>2171</v>
      </c>
      <c r="P816" s="48">
        <v>2.7</v>
      </c>
      <c r="Q816" s="211" t="s">
        <v>2172</v>
      </c>
      <c r="R816" s="210" t="s">
        <v>2171</v>
      </c>
      <c r="S816" s="70">
        <v>2.8</v>
      </c>
      <c r="T816" s="211" t="s">
        <v>2172</v>
      </c>
      <c r="U816" s="210" t="s">
        <v>2171</v>
      </c>
      <c r="V816" s="70">
        <v>2.8</v>
      </c>
      <c r="W816" s="109"/>
      <c r="X816" s="68"/>
      <c r="Y816" s="70"/>
      <c r="Z816" s="110"/>
      <c r="AA816" s="111"/>
      <c r="AB816" s="112"/>
    </row>
    <row r="817" spans="1:28" ht="13.5" customHeight="1">
      <c r="A817" s="27"/>
      <c r="B817" s="44"/>
      <c r="C817" s="36"/>
      <c r="D817" s="6"/>
      <c r="E817" s="46" t="s">
        <v>2174</v>
      </c>
      <c r="F817" s="212" t="s">
        <v>2173</v>
      </c>
      <c r="G817" s="48">
        <v>5</v>
      </c>
      <c r="H817" s="46" t="s">
        <v>2174</v>
      </c>
      <c r="I817" s="212" t="s">
        <v>2173</v>
      </c>
      <c r="J817" s="48">
        <v>4.7</v>
      </c>
      <c r="K817" s="46" t="s">
        <v>2174</v>
      </c>
      <c r="L817" s="212" t="s">
        <v>2173</v>
      </c>
      <c r="M817" s="48">
        <v>4.5999999999999996</v>
      </c>
      <c r="N817" s="46" t="s">
        <v>2174</v>
      </c>
      <c r="O817" s="212" t="s">
        <v>2173</v>
      </c>
      <c r="P817" s="48">
        <v>4.4000000000000004</v>
      </c>
      <c r="Q817" s="211" t="s">
        <v>2174</v>
      </c>
      <c r="R817" s="212" t="s">
        <v>2173</v>
      </c>
      <c r="S817" s="48">
        <v>3.3</v>
      </c>
      <c r="T817" s="211" t="s">
        <v>2174</v>
      </c>
      <c r="U817" s="212" t="s">
        <v>2173</v>
      </c>
      <c r="V817" s="48">
        <v>3.3</v>
      </c>
      <c r="W817" s="46"/>
      <c r="X817" s="47"/>
      <c r="Y817" s="48"/>
      <c r="Z817" s="49"/>
      <c r="AA817" s="50"/>
      <c r="AB817" s="51"/>
    </row>
    <row r="818" spans="1:28" ht="13.5" customHeight="1">
      <c r="A818" s="27"/>
      <c r="B818" s="44"/>
      <c r="C818" s="36"/>
      <c r="D818" s="6"/>
      <c r="E818" s="46" t="s">
        <v>2176</v>
      </c>
      <c r="F818" s="212" t="s">
        <v>2175</v>
      </c>
      <c r="G818" s="48">
        <v>1.5</v>
      </c>
      <c r="H818" s="46" t="s">
        <v>2176</v>
      </c>
      <c r="I818" s="212" t="s">
        <v>2175</v>
      </c>
      <c r="J818" s="48">
        <v>2.2999999999999998</v>
      </c>
      <c r="K818" s="46" t="s">
        <v>2176</v>
      </c>
      <c r="L818" s="212" t="s">
        <v>2175</v>
      </c>
      <c r="M818" s="48">
        <v>1.4</v>
      </c>
      <c r="N818" s="46" t="s">
        <v>2176</v>
      </c>
      <c r="O818" s="212" t="s">
        <v>2175</v>
      </c>
      <c r="P818" s="48">
        <v>1.3</v>
      </c>
      <c r="Q818" s="211" t="s">
        <v>2176</v>
      </c>
      <c r="R818" s="212" t="s">
        <v>2175</v>
      </c>
      <c r="S818" s="48">
        <v>2.7</v>
      </c>
      <c r="T818" s="211" t="s">
        <v>2176</v>
      </c>
      <c r="U818" s="212" t="s">
        <v>2175</v>
      </c>
      <c r="V818" s="48">
        <v>2.7</v>
      </c>
      <c r="W818" s="46"/>
      <c r="X818" s="47"/>
      <c r="Y818" s="48"/>
      <c r="Z818" s="49"/>
      <c r="AA818" s="50"/>
      <c r="AB818" s="51"/>
    </row>
    <row r="819" spans="1:28" ht="13.5" customHeight="1">
      <c r="A819" s="27"/>
      <c r="B819" s="44"/>
      <c r="C819" s="36"/>
      <c r="D819" s="6"/>
      <c r="E819" s="46" t="s">
        <v>2178</v>
      </c>
      <c r="F819" s="212" t="s">
        <v>2177</v>
      </c>
      <c r="G819" s="48">
        <v>10.3</v>
      </c>
      <c r="H819" s="46" t="s">
        <v>2178</v>
      </c>
      <c r="I819" s="212" t="s">
        <v>2177</v>
      </c>
      <c r="J819" s="48">
        <v>9.1</v>
      </c>
      <c r="K819" s="46" t="s">
        <v>2178</v>
      </c>
      <c r="L819" s="212" t="s">
        <v>2177</v>
      </c>
      <c r="M819" s="48">
        <v>9</v>
      </c>
      <c r="N819" s="46" t="s">
        <v>2178</v>
      </c>
      <c r="O819" s="212" t="s">
        <v>2177</v>
      </c>
      <c r="P819" s="48">
        <v>8</v>
      </c>
      <c r="Q819" s="211" t="s">
        <v>2178</v>
      </c>
      <c r="R819" s="212" t="s">
        <v>2177</v>
      </c>
      <c r="S819" s="48">
        <v>6.8</v>
      </c>
      <c r="T819" s="211" t="s">
        <v>2178</v>
      </c>
      <c r="U819" s="212" t="s">
        <v>2177</v>
      </c>
      <c r="V819" s="48">
        <v>6.7</v>
      </c>
      <c r="W819" s="46"/>
      <c r="X819" s="47"/>
      <c r="Y819" s="48"/>
      <c r="Z819" s="49"/>
      <c r="AA819" s="50"/>
      <c r="AB819" s="51"/>
    </row>
    <row r="820" spans="1:28" ht="13.5" customHeight="1">
      <c r="A820" s="27"/>
      <c r="B820" s="44"/>
      <c r="C820" s="36"/>
      <c r="D820" s="6"/>
      <c r="E820" s="46" t="s">
        <v>2180</v>
      </c>
      <c r="F820" s="212" t="s">
        <v>2179</v>
      </c>
      <c r="G820" s="48">
        <v>3.1</v>
      </c>
      <c r="H820" s="46" t="s">
        <v>2180</v>
      </c>
      <c r="I820" s="212" t="s">
        <v>2179</v>
      </c>
      <c r="J820" s="48">
        <v>2.1</v>
      </c>
      <c r="K820" s="46" t="s">
        <v>2180</v>
      </c>
      <c r="L820" s="212" t="s">
        <v>2179</v>
      </c>
      <c r="M820" s="48">
        <v>1.2</v>
      </c>
      <c r="N820" s="46" t="s">
        <v>2180</v>
      </c>
      <c r="O820" s="212" t="s">
        <v>2179</v>
      </c>
      <c r="P820" s="48">
        <v>1.1000000000000001</v>
      </c>
      <c r="Q820" s="211" t="s">
        <v>2180</v>
      </c>
      <c r="R820" s="212" t="s">
        <v>2179</v>
      </c>
      <c r="S820" s="48">
        <v>1.3</v>
      </c>
      <c r="T820" s="211" t="s">
        <v>2180</v>
      </c>
      <c r="U820" s="212" t="s">
        <v>2179</v>
      </c>
      <c r="V820" s="48">
        <v>1.3</v>
      </c>
      <c r="W820" s="46"/>
      <c r="X820" s="47"/>
      <c r="Y820" s="48"/>
      <c r="Z820" s="49"/>
      <c r="AA820" s="50"/>
      <c r="AB820" s="51"/>
    </row>
    <row r="821" spans="1:28" ht="13.5" customHeight="1">
      <c r="A821" s="27"/>
      <c r="B821" s="44"/>
      <c r="C821" s="36"/>
      <c r="D821" s="6"/>
      <c r="E821" s="46" t="s">
        <v>2164</v>
      </c>
      <c r="F821" s="248" t="s">
        <v>2181</v>
      </c>
      <c r="G821" s="48">
        <v>0.3</v>
      </c>
      <c r="H821" s="46" t="s">
        <v>2164</v>
      </c>
      <c r="I821" s="248" t="s">
        <v>2181</v>
      </c>
      <c r="J821" s="48">
        <v>0.3</v>
      </c>
      <c r="K821" s="46" t="s">
        <v>2182</v>
      </c>
      <c r="L821" s="248" t="s">
        <v>2181</v>
      </c>
      <c r="M821" s="48">
        <v>0.8</v>
      </c>
      <c r="N821" s="46" t="s">
        <v>2182</v>
      </c>
      <c r="O821" s="248" t="s">
        <v>2181</v>
      </c>
      <c r="P821" s="48">
        <v>1.2</v>
      </c>
      <c r="Q821" s="249" t="s">
        <v>2182</v>
      </c>
      <c r="R821" s="248" t="s">
        <v>2181</v>
      </c>
      <c r="S821" s="58">
        <v>1.7</v>
      </c>
      <c r="T821" s="249" t="s">
        <v>2182</v>
      </c>
      <c r="U821" s="248" t="s">
        <v>2181</v>
      </c>
      <c r="V821" s="58">
        <v>2</v>
      </c>
      <c r="W821" s="57"/>
      <c r="X821" s="56"/>
      <c r="Y821" s="58"/>
      <c r="Z821" s="59"/>
      <c r="AA821" s="60"/>
      <c r="AB821" s="61"/>
    </row>
    <row r="822" spans="1:28" ht="13.5" customHeight="1">
      <c r="A822" s="27"/>
      <c r="B822" s="44"/>
      <c r="C822" s="36"/>
      <c r="D822" s="6"/>
      <c r="E822" s="46" t="s">
        <v>2139</v>
      </c>
      <c r="F822" s="248" t="s">
        <v>3049</v>
      </c>
      <c r="G822" s="48">
        <v>0.6</v>
      </c>
      <c r="H822" s="46" t="s">
        <v>2139</v>
      </c>
      <c r="I822" s="248" t="s">
        <v>3049</v>
      </c>
      <c r="J822" s="48">
        <v>0.6</v>
      </c>
      <c r="K822" s="46"/>
      <c r="L822" s="248"/>
      <c r="M822" s="48"/>
      <c r="N822" s="46"/>
      <c r="O822" s="248"/>
      <c r="P822" s="48"/>
      <c r="Q822" s="249"/>
      <c r="R822" s="248"/>
      <c r="S822" s="58"/>
      <c r="T822" s="249"/>
      <c r="U822" s="248"/>
      <c r="V822" s="58"/>
      <c r="W822" s="57"/>
      <c r="X822" s="56"/>
      <c r="Y822" s="58"/>
      <c r="Z822" s="59"/>
      <c r="AA822" s="60"/>
      <c r="AB822" s="61"/>
    </row>
    <row r="823" spans="1:28" ht="13.5" customHeight="1">
      <c r="A823" s="27"/>
      <c r="B823" s="44"/>
      <c r="C823" s="82"/>
      <c r="D823" s="83"/>
      <c r="E823" s="46" t="s">
        <v>2154</v>
      </c>
      <c r="F823" s="213" t="s">
        <v>2982</v>
      </c>
      <c r="G823" s="48">
        <v>0.5</v>
      </c>
      <c r="H823" s="46" t="s">
        <v>2154</v>
      </c>
      <c r="I823" s="213" t="s">
        <v>2982</v>
      </c>
      <c r="J823" s="48">
        <v>0.6</v>
      </c>
      <c r="K823" s="46"/>
      <c r="L823" s="213"/>
      <c r="M823" s="48"/>
      <c r="N823" s="46"/>
      <c r="O823" s="213"/>
      <c r="P823" s="48"/>
      <c r="Q823" s="214"/>
      <c r="R823" s="213"/>
      <c r="S823" s="77"/>
      <c r="T823" s="214"/>
      <c r="U823" s="213"/>
      <c r="V823" s="77"/>
      <c r="W823" s="76"/>
      <c r="X823" s="75"/>
      <c r="Y823" s="77"/>
      <c r="Z823" s="78"/>
      <c r="AA823" s="79"/>
      <c r="AB823" s="80"/>
    </row>
    <row r="824" spans="1:28" ht="13.5" customHeight="1">
      <c r="A824" s="27"/>
      <c r="B824" s="28" t="s">
        <v>2183</v>
      </c>
      <c r="C824" s="21"/>
      <c r="D824" s="6" t="s">
        <v>2184</v>
      </c>
      <c r="E824" s="31" t="s">
        <v>2185</v>
      </c>
      <c r="F824" s="92"/>
      <c r="G824" s="33">
        <f>G825</f>
        <v>6.7000000000000011</v>
      </c>
      <c r="H824" s="31" t="s">
        <v>2185</v>
      </c>
      <c r="I824" s="92"/>
      <c r="J824" s="33">
        <f>J825</f>
        <v>4.5999999999999996</v>
      </c>
      <c r="K824" s="31" t="s">
        <v>2185</v>
      </c>
      <c r="L824" s="92"/>
      <c r="M824" s="33">
        <f>M825</f>
        <v>5.2</v>
      </c>
      <c r="N824" s="31" t="s">
        <v>2185</v>
      </c>
      <c r="O824" s="92"/>
      <c r="P824" s="33">
        <f>P825</f>
        <v>3.6000000000000005</v>
      </c>
      <c r="Q824" s="31" t="s">
        <v>2185</v>
      </c>
      <c r="R824" s="92"/>
      <c r="S824" s="33">
        <f>S825</f>
        <v>2.5999999999999996</v>
      </c>
      <c r="T824" s="31" t="s">
        <v>2185</v>
      </c>
      <c r="U824" s="92"/>
      <c r="V824" s="33">
        <f>V825</f>
        <v>2.2000000000000002</v>
      </c>
      <c r="W824" s="215"/>
      <c r="X824" s="92"/>
      <c r="Y824" s="33">
        <f>Y825</f>
        <v>2.1</v>
      </c>
      <c r="Z824" s="94"/>
      <c r="AA824" s="95"/>
      <c r="AB824" s="33">
        <f>AB825</f>
        <v>1.9</v>
      </c>
    </row>
    <row r="825" spans="1:28" ht="13.5" customHeight="1">
      <c r="A825" s="27"/>
      <c r="B825" s="138"/>
      <c r="C825" s="86" t="s">
        <v>2186</v>
      </c>
      <c r="D825" s="30" t="s">
        <v>2184</v>
      </c>
      <c r="E825" s="37" t="s">
        <v>2187</v>
      </c>
      <c r="F825" s="41"/>
      <c r="G825" s="39">
        <f>SUM(G826:G830)</f>
        <v>6.7000000000000011</v>
      </c>
      <c r="H825" s="37" t="s">
        <v>2187</v>
      </c>
      <c r="I825" s="41"/>
      <c r="J825" s="39">
        <f>SUM(J826:J830)</f>
        <v>4.5999999999999996</v>
      </c>
      <c r="K825" s="37" t="s">
        <v>2187</v>
      </c>
      <c r="L825" s="41"/>
      <c r="M825" s="39">
        <f>SUM(M826:M830)</f>
        <v>5.2</v>
      </c>
      <c r="N825" s="37" t="s">
        <v>2187</v>
      </c>
      <c r="O825" s="41"/>
      <c r="P825" s="39">
        <f>SUM(P826:P830)</f>
        <v>3.6000000000000005</v>
      </c>
      <c r="Q825" s="37" t="s">
        <v>2187</v>
      </c>
      <c r="R825" s="41"/>
      <c r="S825" s="39">
        <f>SUM(S826:S829)</f>
        <v>2.5999999999999996</v>
      </c>
      <c r="T825" s="37" t="s">
        <v>2187</v>
      </c>
      <c r="U825" s="41"/>
      <c r="V825" s="39">
        <f>SUM(V826:V830)</f>
        <v>2.2000000000000002</v>
      </c>
      <c r="W825" s="97"/>
      <c r="X825" s="41"/>
      <c r="Y825" s="39">
        <f>SUM(Y826:Y829)</f>
        <v>2.1</v>
      </c>
      <c r="Z825" s="42"/>
      <c r="AA825" s="43"/>
      <c r="AB825" s="39">
        <f>SUM(AB826:AB829)</f>
        <v>1.9</v>
      </c>
    </row>
    <row r="826" spans="1:28" ht="13.5" customHeight="1">
      <c r="A826" s="27"/>
      <c r="B826" s="144"/>
      <c r="C826" s="21"/>
      <c r="D826" s="45"/>
      <c r="E826" s="46" t="s">
        <v>2188</v>
      </c>
      <c r="F826" s="113" t="s">
        <v>2914</v>
      </c>
      <c r="G826" s="48">
        <v>2.1</v>
      </c>
      <c r="H826" s="46" t="s">
        <v>2188</v>
      </c>
      <c r="I826" s="113" t="s">
        <v>2914</v>
      </c>
      <c r="J826" s="48">
        <v>1.5</v>
      </c>
      <c r="K826" s="46" t="s">
        <v>2188</v>
      </c>
      <c r="L826" s="113" t="s">
        <v>2914</v>
      </c>
      <c r="M826" s="48">
        <v>1.2999999999999998</v>
      </c>
      <c r="N826" s="46" t="s">
        <v>2188</v>
      </c>
      <c r="O826" s="113" t="s">
        <v>2914</v>
      </c>
      <c r="P826" s="48">
        <v>1.2</v>
      </c>
      <c r="Q826" s="55" t="s">
        <v>2188</v>
      </c>
      <c r="R826" s="113" t="s">
        <v>2189</v>
      </c>
      <c r="S826" s="48">
        <v>0.7</v>
      </c>
      <c r="T826" s="55" t="s">
        <v>2188</v>
      </c>
      <c r="U826" s="113" t="s">
        <v>2189</v>
      </c>
      <c r="V826" s="48">
        <v>0.6</v>
      </c>
      <c r="W826" s="55" t="s">
        <v>2190</v>
      </c>
      <c r="X826" s="113" t="s">
        <v>2915</v>
      </c>
      <c r="Y826" s="48">
        <v>0.6</v>
      </c>
      <c r="Z826" s="49" t="s">
        <v>1993</v>
      </c>
      <c r="AA826" s="50" t="s">
        <v>2189</v>
      </c>
      <c r="AB826" s="51">
        <v>0.5</v>
      </c>
    </row>
    <row r="827" spans="1:28" ht="13.5" customHeight="1">
      <c r="A827" s="27"/>
      <c r="B827" s="138"/>
      <c r="C827" s="20"/>
      <c r="D827" s="6"/>
      <c r="E827" s="46" t="s">
        <v>2191</v>
      </c>
      <c r="F827" s="47" t="s">
        <v>2916</v>
      </c>
      <c r="G827" s="48">
        <v>1.5</v>
      </c>
      <c r="H827" s="46" t="s">
        <v>2191</v>
      </c>
      <c r="I827" s="47" t="s">
        <v>2916</v>
      </c>
      <c r="J827" s="48">
        <v>0.8</v>
      </c>
      <c r="K827" s="46" t="s">
        <v>2191</v>
      </c>
      <c r="L827" s="47" t="s">
        <v>2916</v>
      </c>
      <c r="M827" s="48">
        <v>0.6</v>
      </c>
      <c r="N827" s="46" t="s">
        <v>2191</v>
      </c>
      <c r="O827" s="47" t="s">
        <v>2916</v>
      </c>
      <c r="P827" s="48">
        <v>0.4</v>
      </c>
      <c r="Q827" s="55" t="s">
        <v>2191</v>
      </c>
      <c r="R827" s="47" t="s">
        <v>2192</v>
      </c>
      <c r="S827" s="48">
        <v>0.3</v>
      </c>
      <c r="T827" s="55" t="s">
        <v>2191</v>
      </c>
      <c r="U827" s="47" t="s">
        <v>2192</v>
      </c>
      <c r="V827" s="48">
        <v>0.3</v>
      </c>
      <c r="W827" s="55" t="s">
        <v>2193</v>
      </c>
      <c r="X827" s="47" t="s">
        <v>2917</v>
      </c>
      <c r="Y827" s="48">
        <v>0.3</v>
      </c>
      <c r="Z827" s="49" t="s">
        <v>2194</v>
      </c>
      <c r="AA827" s="50" t="s">
        <v>2192</v>
      </c>
      <c r="AB827" s="51">
        <v>0.3</v>
      </c>
    </row>
    <row r="828" spans="1:28" ht="13.5" customHeight="1">
      <c r="A828" s="27"/>
      <c r="B828" s="44"/>
      <c r="C828" s="36"/>
      <c r="D828" s="6"/>
      <c r="E828" s="46" t="s">
        <v>2196</v>
      </c>
      <c r="F828" s="47" t="s">
        <v>2195</v>
      </c>
      <c r="G828" s="48">
        <v>0.8</v>
      </c>
      <c r="H828" s="46" t="s">
        <v>2196</v>
      </c>
      <c r="I828" s="47" t="s">
        <v>2195</v>
      </c>
      <c r="J828" s="48">
        <v>0.5</v>
      </c>
      <c r="K828" s="46" t="s">
        <v>2196</v>
      </c>
      <c r="L828" s="47" t="s">
        <v>2195</v>
      </c>
      <c r="M828" s="48">
        <v>0.5</v>
      </c>
      <c r="N828" s="46" t="s">
        <v>2196</v>
      </c>
      <c r="O828" s="47" t="s">
        <v>2195</v>
      </c>
      <c r="P828" s="48">
        <v>0.3</v>
      </c>
      <c r="Q828" s="55" t="s">
        <v>2196</v>
      </c>
      <c r="R828" s="47" t="s">
        <v>2195</v>
      </c>
      <c r="S828" s="48">
        <v>0.2</v>
      </c>
      <c r="T828" s="55" t="s">
        <v>2196</v>
      </c>
      <c r="U828" s="47" t="s">
        <v>2195</v>
      </c>
      <c r="V828" s="48">
        <v>0.2</v>
      </c>
      <c r="W828" s="55" t="s">
        <v>2197</v>
      </c>
      <c r="X828" s="47" t="s">
        <v>2918</v>
      </c>
      <c r="Y828" s="48">
        <v>0.1</v>
      </c>
      <c r="Z828" s="49" t="s">
        <v>2011</v>
      </c>
      <c r="AA828" s="50" t="s">
        <v>2198</v>
      </c>
      <c r="AB828" s="51">
        <v>0.1</v>
      </c>
    </row>
    <row r="829" spans="1:28" ht="13.5" customHeight="1">
      <c r="A829" s="27"/>
      <c r="B829" s="44"/>
      <c r="C829" s="36"/>
      <c r="D829" s="6"/>
      <c r="E829" s="46" t="s">
        <v>2200</v>
      </c>
      <c r="F829" s="47" t="s">
        <v>2199</v>
      </c>
      <c r="G829" s="48">
        <v>0.9</v>
      </c>
      <c r="H829" s="46" t="s">
        <v>2200</v>
      </c>
      <c r="I829" s="47" t="s">
        <v>2199</v>
      </c>
      <c r="J829" s="48">
        <v>0.9</v>
      </c>
      <c r="K829" s="46" t="s">
        <v>2200</v>
      </c>
      <c r="L829" s="47" t="s">
        <v>2199</v>
      </c>
      <c r="M829" s="48">
        <v>1</v>
      </c>
      <c r="N829" s="46" t="s">
        <v>2200</v>
      </c>
      <c r="O829" s="47" t="s">
        <v>2199</v>
      </c>
      <c r="P829" s="48">
        <v>0.4</v>
      </c>
      <c r="Q829" s="55" t="s">
        <v>2200</v>
      </c>
      <c r="R829" s="47" t="s">
        <v>2199</v>
      </c>
      <c r="S829" s="48">
        <v>1.4</v>
      </c>
      <c r="T829" s="55" t="s">
        <v>2200</v>
      </c>
      <c r="U829" s="47" t="s">
        <v>2199</v>
      </c>
      <c r="V829" s="48">
        <v>1.1000000000000001</v>
      </c>
      <c r="W829" s="55" t="s">
        <v>2201</v>
      </c>
      <c r="X829" s="47" t="s">
        <v>2919</v>
      </c>
      <c r="Y829" s="48">
        <v>1.1000000000000001</v>
      </c>
      <c r="Z829" s="49" t="s">
        <v>2202</v>
      </c>
      <c r="AA829" s="50" t="s">
        <v>2199</v>
      </c>
      <c r="AB829" s="51">
        <v>1</v>
      </c>
    </row>
    <row r="830" spans="1:28" ht="13.5" customHeight="1">
      <c r="A830" s="145"/>
      <c r="B830" s="161"/>
      <c r="C830" s="82"/>
      <c r="D830" s="83"/>
      <c r="E830" s="46" t="s">
        <v>2974</v>
      </c>
      <c r="F830" s="75" t="s">
        <v>2920</v>
      </c>
      <c r="G830" s="48">
        <v>1.4</v>
      </c>
      <c r="H830" s="46" t="s">
        <v>2974</v>
      </c>
      <c r="I830" s="75" t="s">
        <v>2920</v>
      </c>
      <c r="J830" s="48">
        <v>0.9</v>
      </c>
      <c r="K830" s="46" t="s">
        <v>2974</v>
      </c>
      <c r="L830" s="75" t="s">
        <v>2920</v>
      </c>
      <c r="M830" s="48">
        <v>1.8</v>
      </c>
      <c r="N830" s="46" t="s">
        <v>2974</v>
      </c>
      <c r="O830" s="75" t="s">
        <v>2920</v>
      </c>
      <c r="P830" s="48">
        <v>1.3</v>
      </c>
      <c r="Q830" s="116"/>
      <c r="R830" s="75"/>
      <c r="S830" s="77"/>
      <c r="T830" s="116"/>
      <c r="U830" s="75"/>
      <c r="V830" s="77"/>
      <c r="W830" s="116"/>
      <c r="X830" s="75"/>
      <c r="Y830" s="77"/>
      <c r="Z830" s="78"/>
      <c r="AA830" s="79"/>
      <c r="AB830" s="80"/>
    </row>
    <row r="831" spans="1:28" ht="13.5" customHeight="1">
      <c r="A831" s="19" t="s">
        <v>2203</v>
      </c>
      <c r="B831" s="21"/>
      <c r="C831" s="29"/>
      <c r="D831" s="30" t="s">
        <v>2204</v>
      </c>
      <c r="E831" s="162"/>
      <c r="F831" s="118"/>
      <c r="G831" s="100">
        <f>G832+G866+G886</f>
        <v>52.699999999999996</v>
      </c>
      <c r="H831" s="162"/>
      <c r="I831" s="118"/>
      <c r="J831" s="100">
        <f>J832+J866+J886</f>
        <v>54.199999999999996</v>
      </c>
      <c r="K831" s="162"/>
      <c r="L831" s="118"/>
      <c r="M831" s="100">
        <f>M832+M866+M886</f>
        <v>56.900000000000006</v>
      </c>
      <c r="N831" s="162"/>
      <c r="O831" s="118"/>
      <c r="P831" s="100">
        <f>P832+P866+P886</f>
        <v>55.400000000000006</v>
      </c>
      <c r="Q831" s="162"/>
      <c r="R831" s="118"/>
      <c r="S831" s="124">
        <f>S832+S866+S886</f>
        <v>50.099999999999994</v>
      </c>
      <c r="T831" s="162"/>
      <c r="U831" s="118"/>
      <c r="V831" s="124">
        <f>V832+V866+V886</f>
        <v>54.2</v>
      </c>
      <c r="W831" s="162"/>
      <c r="X831" s="118"/>
      <c r="Y831" s="124">
        <f>Y832+Y866+Y886</f>
        <v>62.599999999999994</v>
      </c>
      <c r="Z831" s="90"/>
      <c r="AA831" s="91"/>
      <c r="AB831" s="124">
        <f>AB832+AB866+AB886</f>
        <v>49.100000000000009</v>
      </c>
    </row>
    <row r="832" spans="1:28" ht="13.5" customHeight="1">
      <c r="A832" s="104"/>
      <c r="B832" s="28" t="s">
        <v>2205</v>
      </c>
      <c r="C832" s="29"/>
      <c r="D832" s="30" t="s">
        <v>2206</v>
      </c>
      <c r="E832" s="31" t="s">
        <v>2207</v>
      </c>
      <c r="F832" s="195"/>
      <c r="G832" s="33">
        <f>G833+G842</f>
        <v>25.9</v>
      </c>
      <c r="H832" s="31" t="s">
        <v>2207</v>
      </c>
      <c r="I832" s="195"/>
      <c r="J832" s="33">
        <f>J833+J842</f>
        <v>26.099999999999998</v>
      </c>
      <c r="K832" s="31" t="s">
        <v>2207</v>
      </c>
      <c r="L832" s="195"/>
      <c r="M832" s="33">
        <f>M833+M842</f>
        <v>29.8</v>
      </c>
      <c r="N832" s="31" t="s">
        <v>2207</v>
      </c>
      <c r="O832" s="195"/>
      <c r="P832" s="33">
        <f>P833+P842</f>
        <v>29.7</v>
      </c>
      <c r="Q832" s="31" t="s">
        <v>2207</v>
      </c>
      <c r="R832" s="195"/>
      <c r="S832" s="33">
        <f>S833+S842</f>
        <v>29.8</v>
      </c>
      <c r="T832" s="31" t="s">
        <v>2207</v>
      </c>
      <c r="U832" s="195"/>
      <c r="V832" s="33">
        <f>V833+V842</f>
        <v>28.6</v>
      </c>
      <c r="W832" s="196"/>
      <c r="X832" s="195"/>
      <c r="Y832" s="33">
        <f>Y833+Y842</f>
        <v>31.9</v>
      </c>
      <c r="Z832" s="90"/>
      <c r="AA832" s="91"/>
      <c r="AB832" s="33">
        <f>AB833+AB842</f>
        <v>29</v>
      </c>
    </row>
    <row r="833" spans="1:28" ht="13.5" customHeight="1">
      <c r="A833" s="104"/>
      <c r="B833" s="44"/>
      <c r="C833" s="28" t="s">
        <v>2208</v>
      </c>
      <c r="D833" s="30" t="s">
        <v>2209</v>
      </c>
      <c r="E833" s="37" t="s">
        <v>2210</v>
      </c>
      <c r="F833" s="186"/>
      <c r="G833" s="39">
        <f>SUM(G834:G841)</f>
        <v>11</v>
      </c>
      <c r="H833" s="37" t="s">
        <v>2210</v>
      </c>
      <c r="I833" s="186"/>
      <c r="J833" s="39">
        <f>SUM(J834:J841)</f>
        <v>11</v>
      </c>
      <c r="K833" s="37" t="s">
        <v>2210</v>
      </c>
      <c r="L833" s="186"/>
      <c r="M833" s="39">
        <f>SUM(M834:M841)</f>
        <v>13.7</v>
      </c>
      <c r="N833" s="37" t="s">
        <v>2210</v>
      </c>
      <c r="O833" s="186"/>
      <c r="P833" s="39">
        <f>SUM(P834:P841)</f>
        <v>14</v>
      </c>
      <c r="Q833" s="37" t="s">
        <v>2210</v>
      </c>
      <c r="R833" s="186"/>
      <c r="S833" s="39">
        <f>SUM(S834:S841)</f>
        <v>13.2</v>
      </c>
      <c r="T833" s="37" t="s">
        <v>2210</v>
      </c>
      <c r="U833" s="186"/>
      <c r="V833" s="39">
        <f>SUM(V834:V841)</f>
        <v>12.9</v>
      </c>
      <c r="W833" s="97"/>
      <c r="X833" s="186"/>
      <c r="Y833" s="39">
        <f>SUM(Y834:Y841)</f>
        <v>17.299999999999997</v>
      </c>
      <c r="Z833" s="42"/>
      <c r="AA833" s="43"/>
      <c r="AB833" s="39">
        <f>SUM(AB834:AB841)</f>
        <v>16.7</v>
      </c>
    </row>
    <row r="834" spans="1:28" ht="13.5" customHeight="1">
      <c r="A834" s="27"/>
      <c r="B834" s="144"/>
      <c r="C834" s="21"/>
      <c r="D834" s="45"/>
      <c r="E834" s="46" t="s">
        <v>2212</v>
      </c>
      <c r="F834" s="47" t="s">
        <v>2211</v>
      </c>
      <c r="G834" s="48">
        <v>0.6</v>
      </c>
      <c r="H834" s="46" t="s">
        <v>2212</v>
      </c>
      <c r="I834" s="47" t="s">
        <v>2211</v>
      </c>
      <c r="J834" s="48">
        <v>0.8</v>
      </c>
      <c r="K834" s="46" t="s">
        <v>2212</v>
      </c>
      <c r="L834" s="47" t="s">
        <v>2211</v>
      </c>
      <c r="M834" s="48">
        <v>1.5</v>
      </c>
      <c r="N834" s="46" t="s">
        <v>2212</v>
      </c>
      <c r="O834" s="47" t="s">
        <v>2211</v>
      </c>
      <c r="P834" s="48">
        <v>1.7</v>
      </c>
      <c r="Q834" s="55" t="s">
        <v>2212</v>
      </c>
      <c r="R834" s="47" t="s">
        <v>2211</v>
      </c>
      <c r="S834" s="48">
        <v>1.9</v>
      </c>
      <c r="T834" s="55" t="s">
        <v>2212</v>
      </c>
      <c r="U834" s="47" t="s">
        <v>2211</v>
      </c>
      <c r="V834" s="48">
        <v>2.1</v>
      </c>
      <c r="W834" s="55" t="s">
        <v>2213</v>
      </c>
      <c r="X834" s="47" t="s">
        <v>2921</v>
      </c>
      <c r="Y834" s="48">
        <v>3.6</v>
      </c>
      <c r="Z834" s="49" t="s">
        <v>2214</v>
      </c>
      <c r="AA834" s="50" t="s">
        <v>2211</v>
      </c>
      <c r="AB834" s="51">
        <v>7</v>
      </c>
    </row>
    <row r="835" spans="1:28" ht="13.5" customHeight="1">
      <c r="A835" s="27"/>
      <c r="B835" s="44"/>
      <c r="C835" s="36"/>
      <c r="D835" s="6"/>
      <c r="E835" s="46"/>
      <c r="F835" s="47"/>
      <c r="G835" s="48"/>
      <c r="H835" s="46"/>
      <c r="I835" s="47"/>
      <c r="J835" s="48"/>
      <c r="K835" s="46"/>
      <c r="L835" s="47"/>
      <c r="M835" s="48"/>
      <c r="N835" s="46"/>
      <c r="O835" s="47"/>
      <c r="P835" s="48"/>
      <c r="Q835" s="55"/>
      <c r="R835" s="47"/>
      <c r="S835" s="48"/>
      <c r="T835" s="55"/>
      <c r="U835" s="47"/>
      <c r="V835" s="48"/>
      <c r="W835" s="55"/>
      <c r="X835" s="47"/>
      <c r="Y835" s="48"/>
      <c r="Z835" s="49"/>
      <c r="AA835" s="50"/>
      <c r="AB835" s="51"/>
    </row>
    <row r="836" spans="1:28" ht="13.5" customHeight="1">
      <c r="A836" s="27"/>
      <c r="B836" s="44"/>
      <c r="C836" s="36"/>
      <c r="D836" s="6"/>
      <c r="E836" s="46" t="s">
        <v>2216</v>
      </c>
      <c r="F836" s="47" t="s">
        <v>2215</v>
      </c>
      <c r="G836" s="48">
        <v>0.6</v>
      </c>
      <c r="H836" s="46" t="s">
        <v>2216</v>
      </c>
      <c r="I836" s="47" t="s">
        <v>2215</v>
      </c>
      <c r="J836" s="48">
        <v>0.8</v>
      </c>
      <c r="K836" s="46" t="s">
        <v>2216</v>
      </c>
      <c r="L836" s="47" t="s">
        <v>2215</v>
      </c>
      <c r="M836" s="48">
        <v>1.5</v>
      </c>
      <c r="N836" s="46" t="s">
        <v>2216</v>
      </c>
      <c r="O836" s="47" t="s">
        <v>2215</v>
      </c>
      <c r="P836" s="48">
        <v>1.7</v>
      </c>
      <c r="Q836" s="55" t="s">
        <v>2216</v>
      </c>
      <c r="R836" s="47" t="s">
        <v>2215</v>
      </c>
      <c r="S836" s="48">
        <v>1.9</v>
      </c>
      <c r="T836" s="55" t="s">
        <v>2216</v>
      </c>
      <c r="U836" s="47" t="s">
        <v>2215</v>
      </c>
      <c r="V836" s="48">
        <v>2.1</v>
      </c>
      <c r="W836" s="55" t="s">
        <v>2217</v>
      </c>
      <c r="X836" s="47" t="s">
        <v>2922</v>
      </c>
      <c r="Y836" s="48">
        <v>3.6</v>
      </c>
      <c r="Z836" s="49"/>
      <c r="AA836" s="50"/>
      <c r="AB836" s="51"/>
    </row>
    <row r="837" spans="1:28" ht="13.5" customHeight="1">
      <c r="A837" s="27"/>
      <c r="B837" s="44"/>
      <c r="C837" s="36"/>
      <c r="D837" s="6"/>
      <c r="E837" s="46" t="s">
        <v>2219</v>
      </c>
      <c r="F837" s="113" t="s">
        <v>2981</v>
      </c>
      <c r="G837" s="48">
        <v>0.3</v>
      </c>
      <c r="H837" s="46" t="s">
        <v>2219</v>
      </c>
      <c r="I837" s="113" t="s">
        <v>2981</v>
      </c>
      <c r="J837" s="48">
        <v>0.3</v>
      </c>
      <c r="K837" s="46" t="s">
        <v>2219</v>
      </c>
      <c r="L837" s="113" t="s">
        <v>2218</v>
      </c>
      <c r="M837" s="48">
        <v>0.5</v>
      </c>
      <c r="N837" s="46" t="s">
        <v>2219</v>
      </c>
      <c r="O837" s="113" t="s">
        <v>2218</v>
      </c>
      <c r="P837" s="48">
        <v>0.6</v>
      </c>
      <c r="Q837" s="55" t="s">
        <v>2219</v>
      </c>
      <c r="R837" s="113" t="s">
        <v>2218</v>
      </c>
      <c r="S837" s="48">
        <v>0.7</v>
      </c>
      <c r="T837" s="55" t="s">
        <v>2219</v>
      </c>
      <c r="U837" s="113" t="s">
        <v>2218</v>
      </c>
      <c r="V837" s="48">
        <v>0.8</v>
      </c>
      <c r="W837" s="55" t="s">
        <v>2220</v>
      </c>
      <c r="X837" s="113" t="s">
        <v>2923</v>
      </c>
      <c r="Y837" s="48">
        <v>1.5</v>
      </c>
      <c r="Z837" s="49" t="s">
        <v>2221</v>
      </c>
      <c r="AA837" s="50" t="s">
        <v>2218</v>
      </c>
      <c r="AB837" s="51">
        <v>4.0999999999999996</v>
      </c>
    </row>
    <row r="838" spans="1:28" ht="13.5" customHeight="1">
      <c r="A838" s="27"/>
      <c r="B838" s="44"/>
      <c r="C838" s="36"/>
      <c r="D838" s="6"/>
      <c r="E838" s="46" t="s">
        <v>2223</v>
      </c>
      <c r="F838" s="47" t="s">
        <v>2222</v>
      </c>
      <c r="G838" s="48">
        <v>7.3</v>
      </c>
      <c r="H838" s="46" t="s">
        <v>2223</v>
      </c>
      <c r="I838" s="47" t="s">
        <v>2222</v>
      </c>
      <c r="J838" s="48">
        <v>7.4</v>
      </c>
      <c r="K838" s="46" t="s">
        <v>2223</v>
      </c>
      <c r="L838" s="47" t="s">
        <v>2222</v>
      </c>
      <c r="M838" s="48">
        <v>8.6</v>
      </c>
      <c r="N838" s="46" t="s">
        <v>2223</v>
      </c>
      <c r="O838" s="47" t="s">
        <v>2222</v>
      </c>
      <c r="P838" s="48">
        <v>8.5</v>
      </c>
      <c r="Q838" s="55" t="s">
        <v>2223</v>
      </c>
      <c r="R838" s="47" t="s">
        <v>2222</v>
      </c>
      <c r="S838" s="48">
        <v>7.5</v>
      </c>
      <c r="T838" s="55" t="s">
        <v>2223</v>
      </c>
      <c r="U838" s="47" t="s">
        <v>2222</v>
      </c>
      <c r="V838" s="48">
        <v>6.9</v>
      </c>
      <c r="W838" s="55" t="s">
        <v>2224</v>
      </c>
      <c r="X838" s="47" t="s">
        <v>2924</v>
      </c>
      <c r="Y838" s="48">
        <v>8.6</v>
      </c>
      <c r="Z838" s="49" t="s">
        <v>2225</v>
      </c>
      <c r="AA838" s="50" t="s">
        <v>2226</v>
      </c>
      <c r="AB838" s="51">
        <v>0.3</v>
      </c>
    </row>
    <row r="839" spans="1:28" ht="13.5" customHeight="1">
      <c r="A839" s="27"/>
      <c r="B839" s="44"/>
      <c r="C839" s="36"/>
      <c r="D839" s="6"/>
      <c r="E839" s="46"/>
      <c r="F839" s="47"/>
      <c r="G839" s="48"/>
      <c r="H839" s="46"/>
      <c r="I839" s="47"/>
      <c r="J839" s="48"/>
      <c r="K839" s="46"/>
      <c r="L839" s="47"/>
      <c r="M839" s="48"/>
      <c r="N839" s="46"/>
      <c r="O839" s="47"/>
      <c r="P839" s="48"/>
      <c r="Q839" s="55"/>
      <c r="R839" s="47"/>
      <c r="S839" s="48"/>
      <c r="T839" s="55"/>
      <c r="U839" s="47"/>
      <c r="V839" s="48"/>
      <c r="W839" s="55"/>
      <c r="X839" s="47"/>
      <c r="Y839" s="48"/>
      <c r="Z839" s="49" t="s">
        <v>2227</v>
      </c>
      <c r="AA839" s="50" t="s">
        <v>2228</v>
      </c>
      <c r="AB839" s="51">
        <v>4.3</v>
      </c>
    </row>
    <row r="840" spans="1:28" ht="13.5" customHeight="1">
      <c r="A840" s="27"/>
      <c r="B840" s="44"/>
      <c r="C840" s="36"/>
      <c r="D840" s="6"/>
      <c r="E840" s="46"/>
      <c r="F840" s="47"/>
      <c r="G840" s="48"/>
      <c r="H840" s="46"/>
      <c r="I840" s="47"/>
      <c r="J840" s="48"/>
      <c r="K840" s="46"/>
      <c r="L840" s="47"/>
      <c r="M840" s="48"/>
      <c r="N840" s="46"/>
      <c r="O840" s="47"/>
      <c r="P840" s="48"/>
      <c r="Q840" s="55"/>
      <c r="R840" s="47"/>
      <c r="S840" s="48"/>
      <c r="T840" s="55"/>
      <c r="U840" s="47"/>
      <c r="V840" s="48"/>
      <c r="W840" s="55"/>
      <c r="X840" s="47"/>
      <c r="Y840" s="48"/>
      <c r="Z840" s="49" t="s">
        <v>2229</v>
      </c>
      <c r="AA840" s="50" t="s">
        <v>2230</v>
      </c>
      <c r="AB840" s="51">
        <v>1</v>
      </c>
    </row>
    <row r="841" spans="1:28" ht="13.5" customHeight="1">
      <c r="A841" s="27"/>
      <c r="B841" s="44"/>
      <c r="C841" s="82"/>
      <c r="D841" s="83"/>
      <c r="E841" s="46" t="s">
        <v>2232</v>
      </c>
      <c r="F841" s="75" t="s">
        <v>2231</v>
      </c>
      <c r="G841" s="48">
        <v>2.2000000000000002</v>
      </c>
      <c r="H841" s="46" t="s">
        <v>2232</v>
      </c>
      <c r="I841" s="75" t="s">
        <v>2231</v>
      </c>
      <c r="J841" s="48">
        <v>1.7</v>
      </c>
      <c r="K841" s="46" t="s">
        <v>2232</v>
      </c>
      <c r="L841" s="75" t="s">
        <v>2231</v>
      </c>
      <c r="M841" s="48">
        <v>1.6</v>
      </c>
      <c r="N841" s="46" t="s">
        <v>2232</v>
      </c>
      <c r="O841" s="75" t="s">
        <v>2231</v>
      </c>
      <c r="P841" s="48">
        <v>1.5</v>
      </c>
      <c r="Q841" s="116" t="s">
        <v>2232</v>
      </c>
      <c r="R841" s="75" t="s">
        <v>2231</v>
      </c>
      <c r="S841" s="77">
        <v>1.2</v>
      </c>
      <c r="T841" s="116" t="s">
        <v>2232</v>
      </c>
      <c r="U841" s="75" t="s">
        <v>2231</v>
      </c>
      <c r="V841" s="77">
        <v>1</v>
      </c>
      <c r="W841" s="116"/>
      <c r="X841" s="75"/>
      <c r="Y841" s="77"/>
      <c r="Z841" s="78"/>
      <c r="AA841" s="79"/>
      <c r="AB841" s="80"/>
    </row>
    <row r="842" spans="1:28" ht="13.5" customHeight="1">
      <c r="A842" s="27"/>
      <c r="B842" s="44"/>
      <c r="C842" s="28" t="s">
        <v>2233</v>
      </c>
      <c r="D842" s="30" t="s">
        <v>2234</v>
      </c>
      <c r="E842" s="40" t="s">
        <v>2235</v>
      </c>
      <c r="F842" s="71"/>
      <c r="G842" s="39">
        <f>SUM(G843:G865)</f>
        <v>14.899999999999999</v>
      </c>
      <c r="H842" s="40" t="s">
        <v>2235</v>
      </c>
      <c r="I842" s="71"/>
      <c r="J842" s="39">
        <f>SUM(J843:J865)</f>
        <v>15.099999999999998</v>
      </c>
      <c r="K842" s="40" t="s">
        <v>2235</v>
      </c>
      <c r="L842" s="71"/>
      <c r="M842" s="39">
        <f>SUM(M843:M865)</f>
        <v>16.100000000000001</v>
      </c>
      <c r="N842" s="40" t="s">
        <v>2235</v>
      </c>
      <c r="O842" s="71"/>
      <c r="P842" s="39">
        <f>SUM(P843:P865)</f>
        <v>15.7</v>
      </c>
      <c r="Q842" s="168" t="s">
        <v>2235</v>
      </c>
      <c r="R842" s="71"/>
      <c r="S842" s="39">
        <f>SUM(S843:S865)</f>
        <v>16.600000000000001</v>
      </c>
      <c r="T842" s="168" t="s">
        <v>2235</v>
      </c>
      <c r="U842" s="71"/>
      <c r="V842" s="39">
        <f>SUM(V843:V865)</f>
        <v>15.700000000000001</v>
      </c>
      <c r="W842" s="168"/>
      <c r="X842" s="71"/>
      <c r="Y842" s="39">
        <f>SUM(Y843:Y865)</f>
        <v>14.600000000000001</v>
      </c>
      <c r="Z842" s="42"/>
      <c r="AA842" s="43"/>
      <c r="AB842" s="39">
        <f>SUM(AB843:AB865)</f>
        <v>12.3</v>
      </c>
    </row>
    <row r="843" spans="1:28" ht="13.5" customHeight="1">
      <c r="A843" s="27"/>
      <c r="B843" s="44"/>
      <c r="C843" s="44"/>
      <c r="D843" s="45"/>
      <c r="E843" s="46" t="s">
        <v>2237</v>
      </c>
      <c r="F843" s="47" t="s">
        <v>2236</v>
      </c>
      <c r="G843" s="48">
        <v>0.4</v>
      </c>
      <c r="H843" s="46" t="s">
        <v>2237</v>
      </c>
      <c r="I843" s="47" t="s">
        <v>2236</v>
      </c>
      <c r="J843" s="48">
        <v>0.5</v>
      </c>
      <c r="K843" s="46" t="s">
        <v>2237</v>
      </c>
      <c r="L843" s="47" t="s">
        <v>2236</v>
      </c>
      <c r="M843" s="48">
        <v>0.3</v>
      </c>
      <c r="N843" s="46" t="s">
        <v>2237</v>
      </c>
      <c r="O843" s="47" t="s">
        <v>2236</v>
      </c>
      <c r="P843" s="48">
        <v>0.4</v>
      </c>
      <c r="Q843" s="46" t="s">
        <v>2237</v>
      </c>
      <c r="R843" s="47" t="s">
        <v>2236</v>
      </c>
      <c r="S843" s="48">
        <v>0.2</v>
      </c>
      <c r="T843" s="46" t="s">
        <v>2237</v>
      </c>
      <c r="U843" s="47" t="s">
        <v>2236</v>
      </c>
      <c r="V843" s="48">
        <v>0.3</v>
      </c>
      <c r="W843" s="46" t="s">
        <v>2238</v>
      </c>
      <c r="X843" s="47" t="s">
        <v>2925</v>
      </c>
      <c r="Y843" s="48">
        <v>0.1</v>
      </c>
      <c r="Z843" s="49" t="s">
        <v>2239</v>
      </c>
      <c r="AA843" s="50" t="s">
        <v>2240</v>
      </c>
      <c r="AB843" s="51">
        <v>0.1</v>
      </c>
    </row>
    <row r="844" spans="1:28" ht="13.5" customHeight="1">
      <c r="A844" s="27"/>
      <c r="B844" s="44"/>
      <c r="C844" s="36"/>
      <c r="D844" s="6"/>
      <c r="E844" s="46"/>
      <c r="F844" s="47"/>
      <c r="G844" s="48"/>
      <c r="H844" s="46"/>
      <c r="I844" s="47"/>
      <c r="J844" s="48"/>
      <c r="K844" s="46"/>
      <c r="L844" s="47"/>
      <c r="M844" s="48"/>
      <c r="N844" s="46"/>
      <c r="O844" s="47"/>
      <c r="P844" s="48"/>
      <c r="Q844" s="46"/>
      <c r="R844" s="47"/>
      <c r="S844" s="48"/>
      <c r="T844" s="46"/>
      <c r="U844" s="47"/>
      <c r="V844" s="48"/>
      <c r="W844" s="46" t="s">
        <v>2241</v>
      </c>
      <c r="X844" s="47" t="s">
        <v>2926</v>
      </c>
      <c r="Y844" s="48">
        <v>0.3</v>
      </c>
      <c r="Z844" s="49" t="s">
        <v>2242</v>
      </c>
      <c r="AA844" s="50" t="s">
        <v>2243</v>
      </c>
      <c r="AB844" s="51">
        <v>0.2</v>
      </c>
    </row>
    <row r="845" spans="1:28" ht="13.5" customHeight="1">
      <c r="A845" s="27"/>
      <c r="B845" s="44"/>
      <c r="C845" s="36"/>
      <c r="D845" s="6"/>
      <c r="E845" s="46" t="s">
        <v>2245</v>
      </c>
      <c r="F845" s="47" t="s">
        <v>2244</v>
      </c>
      <c r="G845" s="48">
        <v>0.7</v>
      </c>
      <c r="H845" s="46" t="s">
        <v>2245</v>
      </c>
      <c r="I845" s="47" t="s">
        <v>2244</v>
      </c>
      <c r="J845" s="48">
        <v>0.7</v>
      </c>
      <c r="K845" s="46" t="s">
        <v>2245</v>
      </c>
      <c r="L845" s="47" t="s">
        <v>2244</v>
      </c>
      <c r="M845" s="48">
        <v>0.4</v>
      </c>
      <c r="N845" s="46" t="s">
        <v>2245</v>
      </c>
      <c r="O845" s="47" t="s">
        <v>2244</v>
      </c>
      <c r="P845" s="48">
        <v>0.3</v>
      </c>
      <c r="Q845" s="46" t="s">
        <v>2245</v>
      </c>
      <c r="R845" s="47" t="s">
        <v>2244</v>
      </c>
      <c r="S845" s="48">
        <v>0.3</v>
      </c>
      <c r="T845" s="46" t="s">
        <v>2245</v>
      </c>
      <c r="U845" s="47" t="s">
        <v>2244</v>
      </c>
      <c r="V845" s="48">
        <v>0.3</v>
      </c>
      <c r="W845" s="46" t="s">
        <v>2246</v>
      </c>
      <c r="X845" s="47" t="s">
        <v>2927</v>
      </c>
      <c r="Y845" s="48">
        <v>0.1</v>
      </c>
      <c r="Z845" s="49" t="s">
        <v>2247</v>
      </c>
      <c r="AA845" s="50" t="s">
        <v>2244</v>
      </c>
      <c r="AB845" s="51">
        <v>0.1</v>
      </c>
    </row>
    <row r="846" spans="1:28" ht="13.5" customHeight="1">
      <c r="A846" s="27"/>
      <c r="B846" s="44"/>
      <c r="C846" s="36"/>
      <c r="D846" s="6"/>
      <c r="E846" s="46" t="s">
        <v>2249</v>
      </c>
      <c r="F846" s="47" t="s">
        <v>2248</v>
      </c>
      <c r="G846" s="48">
        <v>0.4</v>
      </c>
      <c r="H846" s="46" t="s">
        <v>2249</v>
      </c>
      <c r="I846" s="47" t="s">
        <v>2248</v>
      </c>
      <c r="J846" s="48">
        <v>0.4</v>
      </c>
      <c r="K846" s="46" t="s">
        <v>2249</v>
      </c>
      <c r="L846" s="47" t="s">
        <v>2248</v>
      </c>
      <c r="M846" s="48">
        <v>0.4</v>
      </c>
      <c r="N846" s="46" t="s">
        <v>2249</v>
      </c>
      <c r="O846" s="47" t="s">
        <v>2248</v>
      </c>
      <c r="P846" s="48">
        <v>0.4</v>
      </c>
      <c r="Q846" s="46" t="s">
        <v>2249</v>
      </c>
      <c r="R846" s="47" t="s">
        <v>2248</v>
      </c>
      <c r="S846" s="48">
        <v>0.4</v>
      </c>
      <c r="T846" s="46" t="s">
        <v>2249</v>
      </c>
      <c r="U846" s="47" t="s">
        <v>2248</v>
      </c>
      <c r="V846" s="48">
        <v>0.4</v>
      </c>
      <c r="W846" s="46" t="s">
        <v>2250</v>
      </c>
      <c r="X846" s="47" t="s">
        <v>2928</v>
      </c>
      <c r="Y846" s="48">
        <v>0.3</v>
      </c>
      <c r="Z846" s="49" t="s">
        <v>1980</v>
      </c>
      <c r="AA846" s="50" t="s">
        <v>2248</v>
      </c>
      <c r="AB846" s="51">
        <v>0.3</v>
      </c>
    </row>
    <row r="847" spans="1:28" ht="13.5" customHeight="1">
      <c r="A847" s="27"/>
      <c r="B847" s="44"/>
      <c r="C847" s="36"/>
      <c r="D847" s="6"/>
      <c r="E847" s="46" t="s">
        <v>2252</v>
      </c>
      <c r="F847" s="47" t="s">
        <v>2251</v>
      </c>
      <c r="G847" s="48">
        <v>0.5</v>
      </c>
      <c r="H847" s="46" t="s">
        <v>2252</v>
      </c>
      <c r="I847" s="47" t="s">
        <v>2251</v>
      </c>
      <c r="J847" s="48">
        <v>0.5</v>
      </c>
      <c r="K847" s="46" t="s">
        <v>2252</v>
      </c>
      <c r="L847" s="47" t="s">
        <v>2251</v>
      </c>
      <c r="M847" s="48">
        <v>0.4</v>
      </c>
      <c r="N847" s="46" t="s">
        <v>2252</v>
      </c>
      <c r="O847" s="47" t="s">
        <v>2251</v>
      </c>
      <c r="P847" s="48">
        <v>0.4</v>
      </c>
      <c r="Q847" s="46" t="s">
        <v>2252</v>
      </c>
      <c r="R847" s="47" t="s">
        <v>2251</v>
      </c>
      <c r="S847" s="48">
        <v>0.4</v>
      </c>
      <c r="T847" s="46" t="s">
        <v>2252</v>
      </c>
      <c r="U847" s="47" t="s">
        <v>2251</v>
      </c>
      <c r="V847" s="48">
        <v>0.3</v>
      </c>
      <c r="W847" s="46" t="s">
        <v>2253</v>
      </c>
      <c r="X847" s="47" t="s">
        <v>2929</v>
      </c>
      <c r="Y847" s="48">
        <v>0.3</v>
      </c>
      <c r="Z847" s="49" t="s">
        <v>1985</v>
      </c>
      <c r="AA847" s="50" t="s">
        <v>2251</v>
      </c>
      <c r="AB847" s="51">
        <v>0.4</v>
      </c>
    </row>
    <row r="848" spans="1:28" ht="13.5" customHeight="1">
      <c r="A848" s="27"/>
      <c r="B848" s="44"/>
      <c r="C848" s="36"/>
      <c r="D848" s="6"/>
      <c r="E848" s="46" t="s">
        <v>2254</v>
      </c>
      <c r="F848" s="113" t="s">
        <v>2930</v>
      </c>
      <c r="G848" s="48">
        <v>0.3</v>
      </c>
      <c r="H848" s="46" t="s">
        <v>2254</v>
      </c>
      <c r="I848" s="113" t="s">
        <v>2930</v>
      </c>
      <c r="J848" s="48">
        <v>0.3</v>
      </c>
      <c r="K848" s="46" t="s">
        <v>2254</v>
      </c>
      <c r="L848" s="113" t="s">
        <v>2930</v>
      </c>
      <c r="M848" s="48">
        <v>0.2</v>
      </c>
      <c r="N848" s="46" t="s">
        <v>2254</v>
      </c>
      <c r="O848" s="113" t="s">
        <v>2930</v>
      </c>
      <c r="P848" s="48">
        <v>0.2</v>
      </c>
      <c r="Q848" s="46" t="s">
        <v>2254</v>
      </c>
      <c r="R848" s="113" t="s">
        <v>2255</v>
      </c>
      <c r="S848" s="48">
        <v>0.2</v>
      </c>
      <c r="T848" s="46" t="s">
        <v>2254</v>
      </c>
      <c r="U848" s="113" t="s">
        <v>2255</v>
      </c>
      <c r="V848" s="48">
        <v>0.2</v>
      </c>
      <c r="W848" s="46" t="s">
        <v>2256</v>
      </c>
      <c r="X848" s="113" t="s">
        <v>2931</v>
      </c>
      <c r="Y848" s="48">
        <v>0.3</v>
      </c>
      <c r="Z848" s="49" t="s">
        <v>1921</v>
      </c>
      <c r="AA848" s="50" t="s">
        <v>2255</v>
      </c>
      <c r="AB848" s="51">
        <v>0.3</v>
      </c>
    </row>
    <row r="849" spans="1:28" ht="13.5" customHeight="1">
      <c r="A849" s="27"/>
      <c r="B849" s="44"/>
      <c r="C849" s="36"/>
      <c r="D849" s="6"/>
      <c r="E849" s="46" t="s">
        <v>2258</v>
      </c>
      <c r="F849" s="47" t="s">
        <v>2257</v>
      </c>
      <c r="G849" s="48">
        <v>1</v>
      </c>
      <c r="H849" s="46" t="s">
        <v>2258</v>
      </c>
      <c r="I849" s="47" t="s">
        <v>2257</v>
      </c>
      <c r="J849" s="48">
        <v>1.2000000000000002</v>
      </c>
      <c r="K849" s="46" t="s">
        <v>2258</v>
      </c>
      <c r="L849" s="47" t="s">
        <v>2257</v>
      </c>
      <c r="M849" s="48">
        <v>1</v>
      </c>
      <c r="N849" s="46" t="s">
        <v>2258</v>
      </c>
      <c r="O849" s="47" t="s">
        <v>2257</v>
      </c>
      <c r="P849" s="48">
        <v>1</v>
      </c>
      <c r="Q849" s="46" t="s">
        <v>2258</v>
      </c>
      <c r="R849" s="47" t="s">
        <v>2257</v>
      </c>
      <c r="S849" s="48">
        <v>1</v>
      </c>
      <c r="T849" s="46" t="s">
        <v>2258</v>
      </c>
      <c r="U849" s="47" t="s">
        <v>2257</v>
      </c>
      <c r="V849" s="48">
        <v>1</v>
      </c>
      <c r="W849" s="46" t="s">
        <v>2259</v>
      </c>
      <c r="X849" s="47" t="s">
        <v>2932</v>
      </c>
      <c r="Y849" s="48">
        <v>1.1000000000000001</v>
      </c>
      <c r="Z849" s="49" t="s">
        <v>2260</v>
      </c>
      <c r="AA849" s="50" t="s">
        <v>2257</v>
      </c>
      <c r="AB849" s="51">
        <v>0.9</v>
      </c>
    </row>
    <row r="850" spans="1:28" ht="13.5" customHeight="1">
      <c r="A850" s="27"/>
      <c r="B850" s="44"/>
      <c r="C850" s="36"/>
      <c r="D850" s="6"/>
      <c r="E850" s="46"/>
      <c r="F850" s="47"/>
      <c r="G850" s="48"/>
      <c r="H850" s="46"/>
      <c r="I850" s="47"/>
      <c r="J850" s="48"/>
      <c r="K850" s="46"/>
      <c r="L850" s="47"/>
      <c r="M850" s="48"/>
      <c r="N850" s="46"/>
      <c r="O850" s="47"/>
      <c r="P850" s="48"/>
      <c r="Q850" s="46"/>
      <c r="R850" s="47"/>
      <c r="S850" s="48"/>
      <c r="T850" s="46"/>
      <c r="U850" s="47"/>
      <c r="V850" s="48"/>
      <c r="W850" s="46"/>
      <c r="X850" s="47"/>
      <c r="Y850" s="48"/>
      <c r="Z850" s="49"/>
      <c r="AA850" s="50"/>
      <c r="AB850" s="51"/>
    </row>
    <row r="851" spans="1:28" ht="13.5" customHeight="1">
      <c r="A851" s="27"/>
      <c r="B851" s="44"/>
      <c r="C851" s="36"/>
      <c r="D851" s="6"/>
      <c r="E851" s="46" t="s">
        <v>2262</v>
      </c>
      <c r="F851" s="47" t="s">
        <v>2261</v>
      </c>
      <c r="G851" s="48">
        <v>0.5</v>
      </c>
      <c r="H851" s="46" t="s">
        <v>2262</v>
      </c>
      <c r="I851" s="47" t="s">
        <v>2261</v>
      </c>
      <c r="J851" s="48">
        <v>0.4</v>
      </c>
      <c r="K851" s="46" t="s">
        <v>2262</v>
      </c>
      <c r="L851" s="47" t="s">
        <v>2261</v>
      </c>
      <c r="M851" s="48">
        <v>0.4</v>
      </c>
      <c r="N851" s="46" t="s">
        <v>2262</v>
      </c>
      <c r="O851" s="47" t="s">
        <v>2261</v>
      </c>
      <c r="P851" s="48">
        <v>0.3</v>
      </c>
      <c r="Q851" s="55" t="s">
        <v>2262</v>
      </c>
      <c r="R851" s="47" t="s">
        <v>2261</v>
      </c>
      <c r="S851" s="48">
        <v>0.3</v>
      </c>
      <c r="T851" s="55" t="s">
        <v>2262</v>
      </c>
      <c r="U851" s="47" t="s">
        <v>2261</v>
      </c>
      <c r="V851" s="48">
        <v>0.3</v>
      </c>
      <c r="W851" s="46"/>
      <c r="X851" s="47"/>
      <c r="Y851" s="48"/>
      <c r="Z851" s="49"/>
      <c r="AA851" s="50"/>
      <c r="AB851" s="51"/>
    </row>
    <row r="852" spans="1:28" ht="13.5" customHeight="1">
      <c r="A852" s="27"/>
      <c r="B852" s="44"/>
      <c r="C852" s="36"/>
      <c r="D852" s="6"/>
      <c r="E852" s="46" t="s">
        <v>2264</v>
      </c>
      <c r="F852" s="47" t="s">
        <v>2263</v>
      </c>
      <c r="G852" s="48">
        <v>1.3</v>
      </c>
      <c r="H852" s="46" t="s">
        <v>2264</v>
      </c>
      <c r="I852" s="47" t="s">
        <v>2263</v>
      </c>
      <c r="J852" s="48">
        <v>1.6</v>
      </c>
      <c r="K852" s="46" t="s">
        <v>2264</v>
      </c>
      <c r="L852" s="47" t="s">
        <v>2263</v>
      </c>
      <c r="M852" s="48">
        <v>1.3</v>
      </c>
      <c r="N852" s="46" t="s">
        <v>2264</v>
      </c>
      <c r="O852" s="47" t="s">
        <v>2263</v>
      </c>
      <c r="P852" s="48">
        <v>1.7</v>
      </c>
      <c r="Q852" s="46" t="s">
        <v>2264</v>
      </c>
      <c r="R852" s="47" t="s">
        <v>2263</v>
      </c>
      <c r="S852" s="48">
        <v>1.7</v>
      </c>
      <c r="T852" s="46" t="s">
        <v>2264</v>
      </c>
      <c r="U852" s="47" t="s">
        <v>2263</v>
      </c>
      <c r="V852" s="48">
        <v>1.4</v>
      </c>
      <c r="W852" s="46" t="s">
        <v>2265</v>
      </c>
      <c r="X852" s="47" t="s">
        <v>2933</v>
      </c>
      <c r="Y852" s="48">
        <v>1.5</v>
      </c>
      <c r="Z852" s="49" t="s">
        <v>2266</v>
      </c>
      <c r="AA852" s="50" t="s">
        <v>2267</v>
      </c>
      <c r="AB852" s="51">
        <v>1.5</v>
      </c>
    </row>
    <row r="853" spans="1:28" ht="13.5" customHeight="1">
      <c r="A853" s="27"/>
      <c r="B853" s="44"/>
      <c r="C853" s="36"/>
      <c r="D853" s="6"/>
      <c r="E853" s="46"/>
      <c r="F853" s="47"/>
      <c r="G853" s="48"/>
      <c r="H853" s="46"/>
      <c r="I853" s="47"/>
      <c r="J853" s="48"/>
      <c r="K853" s="46"/>
      <c r="L853" s="47"/>
      <c r="M853" s="48"/>
      <c r="N853" s="46"/>
      <c r="O853" s="47"/>
      <c r="P853" s="48"/>
      <c r="Q853" s="46"/>
      <c r="R853" s="47"/>
      <c r="S853" s="48"/>
      <c r="T853" s="46"/>
      <c r="U853" s="47"/>
      <c r="V853" s="48"/>
      <c r="W853" s="46"/>
      <c r="X853" s="47"/>
      <c r="Y853" s="48"/>
      <c r="Z853" s="49" t="s">
        <v>2268</v>
      </c>
      <c r="AA853" s="50" t="s">
        <v>2269</v>
      </c>
      <c r="AB853" s="51">
        <v>0.5</v>
      </c>
    </row>
    <row r="854" spans="1:28" ht="13.5" customHeight="1">
      <c r="A854" s="27"/>
      <c r="B854" s="44"/>
      <c r="C854" s="36"/>
      <c r="D854" s="6"/>
      <c r="E854" s="46" t="s">
        <v>2270</v>
      </c>
      <c r="F854" s="47" t="s">
        <v>2934</v>
      </c>
      <c r="G854" s="48">
        <v>4.5</v>
      </c>
      <c r="H854" s="46" t="s">
        <v>2270</v>
      </c>
      <c r="I854" s="47" t="s">
        <v>2934</v>
      </c>
      <c r="J854" s="48">
        <v>4.2</v>
      </c>
      <c r="K854" s="46" t="s">
        <v>2270</v>
      </c>
      <c r="L854" s="47" t="s">
        <v>2934</v>
      </c>
      <c r="M854" s="48">
        <v>5.4</v>
      </c>
      <c r="N854" s="46" t="s">
        <v>2270</v>
      </c>
      <c r="O854" s="47" t="s">
        <v>2934</v>
      </c>
      <c r="P854" s="48">
        <v>4.8</v>
      </c>
      <c r="Q854" s="46" t="s">
        <v>2270</v>
      </c>
      <c r="R854" s="47" t="s">
        <v>2271</v>
      </c>
      <c r="S854" s="48">
        <v>2.6</v>
      </c>
      <c r="T854" s="46" t="s">
        <v>2270</v>
      </c>
      <c r="U854" s="47" t="s">
        <v>2271</v>
      </c>
      <c r="V854" s="48">
        <v>2.2999999999999998</v>
      </c>
      <c r="W854" s="46" t="s">
        <v>2272</v>
      </c>
      <c r="X854" s="47" t="s">
        <v>2935</v>
      </c>
      <c r="Y854" s="48">
        <v>1.9</v>
      </c>
      <c r="Z854" s="49" t="s">
        <v>2001</v>
      </c>
      <c r="AA854" s="50" t="s">
        <v>2271</v>
      </c>
      <c r="AB854" s="51">
        <v>2.2000000000000002</v>
      </c>
    </row>
    <row r="855" spans="1:28" ht="13.5" customHeight="1">
      <c r="A855" s="27"/>
      <c r="B855" s="44"/>
      <c r="C855" s="36"/>
      <c r="D855" s="6"/>
      <c r="E855" s="46"/>
      <c r="F855" s="47"/>
      <c r="G855" s="48"/>
      <c r="H855" s="46"/>
      <c r="I855" s="47"/>
      <c r="J855" s="48"/>
      <c r="K855" s="46"/>
      <c r="L855" s="47"/>
      <c r="M855" s="48"/>
      <c r="N855" s="46"/>
      <c r="O855" s="47"/>
      <c r="P855" s="48"/>
      <c r="Q855" s="46" t="s">
        <v>2273</v>
      </c>
      <c r="R855" s="47" t="s">
        <v>2274</v>
      </c>
      <c r="S855" s="48">
        <v>2.4</v>
      </c>
      <c r="T855" s="46" t="s">
        <v>2273</v>
      </c>
      <c r="U855" s="47" t="s">
        <v>2274</v>
      </c>
      <c r="V855" s="48">
        <v>2</v>
      </c>
      <c r="W855" s="46" t="s">
        <v>2275</v>
      </c>
      <c r="X855" s="47" t="s">
        <v>2936</v>
      </c>
      <c r="Y855" s="48">
        <v>1.9</v>
      </c>
      <c r="Z855" s="49" t="s">
        <v>2276</v>
      </c>
      <c r="AA855" s="50" t="s">
        <v>2274</v>
      </c>
      <c r="AB855" s="51">
        <v>1.5</v>
      </c>
    </row>
    <row r="856" spans="1:28" ht="13.5" customHeight="1">
      <c r="A856" s="27"/>
      <c r="B856" s="44"/>
      <c r="C856" s="36"/>
      <c r="D856" s="6"/>
      <c r="E856" s="46"/>
      <c r="F856" s="47"/>
      <c r="G856" s="48"/>
      <c r="H856" s="46"/>
      <c r="I856" s="47"/>
      <c r="J856" s="48"/>
      <c r="K856" s="46"/>
      <c r="L856" s="47"/>
      <c r="M856" s="48"/>
      <c r="N856" s="46"/>
      <c r="O856" s="47"/>
      <c r="P856" s="48"/>
      <c r="Q856" s="46" t="s">
        <v>2277</v>
      </c>
      <c r="R856" s="47" t="s">
        <v>2278</v>
      </c>
      <c r="S856" s="48">
        <v>2.4</v>
      </c>
      <c r="T856" s="46" t="s">
        <v>2277</v>
      </c>
      <c r="U856" s="47" t="s">
        <v>2278</v>
      </c>
      <c r="V856" s="48">
        <v>2</v>
      </c>
      <c r="W856" s="46" t="s">
        <v>2279</v>
      </c>
      <c r="X856" s="47" t="s">
        <v>2937</v>
      </c>
      <c r="Y856" s="48">
        <v>1.9</v>
      </c>
      <c r="Z856" s="49" t="s">
        <v>1973</v>
      </c>
      <c r="AA856" s="50" t="s">
        <v>2278</v>
      </c>
      <c r="AB856" s="51">
        <v>1.4</v>
      </c>
    </row>
    <row r="857" spans="1:28" ht="13.5" customHeight="1">
      <c r="A857" s="27"/>
      <c r="B857" s="44"/>
      <c r="C857" s="36"/>
      <c r="D857" s="6"/>
      <c r="E857" s="46"/>
      <c r="F857" s="47"/>
      <c r="G857" s="48"/>
      <c r="H857" s="46"/>
      <c r="I857" s="47"/>
      <c r="J857" s="48"/>
      <c r="K857" s="46"/>
      <c r="L857" s="47"/>
      <c r="M857" s="48"/>
      <c r="N857" s="46"/>
      <c r="O857" s="47"/>
      <c r="P857" s="48"/>
      <c r="Q857" s="46" t="s">
        <v>2280</v>
      </c>
      <c r="R857" s="47" t="s">
        <v>2281</v>
      </c>
      <c r="S857" s="48">
        <v>1.1000000000000001</v>
      </c>
      <c r="T857" s="46" t="s">
        <v>2280</v>
      </c>
      <c r="U857" s="47" t="s">
        <v>2281</v>
      </c>
      <c r="V857" s="48">
        <v>1.3</v>
      </c>
      <c r="W857" s="46" t="s">
        <v>2282</v>
      </c>
      <c r="X857" s="47" t="s">
        <v>2938</v>
      </c>
      <c r="Y857" s="48">
        <v>1.1000000000000001</v>
      </c>
      <c r="Z857" s="49" t="s">
        <v>2283</v>
      </c>
      <c r="AA857" s="50" t="s">
        <v>2281</v>
      </c>
      <c r="AB857" s="51">
        <v>0.6</v>
      </c>
    </row>
    <row r="858" spans="1:28" ht="13.5" customHeight="1">
      <c r="A858" s="27"/>
      <c r="B858" s="44"/>
      <c r="C858" s="36"/>
      <c r="D858" s="6"/>
      <c r="E858" s="46" t="s">
        <v>2295</v>
      </c>
      <c r="F858" s="47" t="s">
        <v>2939</v>
      </c>
      <c r="G858" s="48">
        <v>0.7</v>
      </c>
      <c r="H858" s="46" t="s">
        <v>2295</v>
      </c>
      <c r="I858" s="47" t="s">
        <v>2939</v>
      </c>
      <c r="J858" s="48">
        <v>0.6</v>
      </c>
      <c r="K858" s="46" t="s">
        <v>2295</v>
      </c>
      <c r="L858" s="47" t="s">
        <v>2939</v>
      </c>
      <c r="M858" s="48">
        <v>0.7</v>
      </c>
      <c r="N858" s="46" t="s">
        <v>2295</v>
      </c>
      <c r="O858" s="47" t="s">
        <v>2939</v>
      </c>
      <c r="P858" s="48">
        <v>0.5</v>
      </c>
      <c r="Q858" s="46" t="s">
        <v>2284</v>
      </c>
      <c r="R858" s="47" t="s">
        <v>2285</v>
      </c>
      <c r="S858" s="48">
        <v>0.3</v>
      </c>
      <c r="T858" s="46" t="s">
        <v>2284</v>
      </c>
      <c r="U858" s="47" t="s">
        <v>2285</v>
      </c>
      <c r="V858" s="48">
        <v>0.4</v>
      </c>
      <c r="W858" s="46" t="s">
        <v>2286</v>
      </c>
      <c r="X858" s="47" t="s">
        <v>2940</v>
      </c>
      <c r="Y858" s="48">
        <v>0.7</v>
      </c>
      <c r="Z858" s="49" t="s">
        <v>2287</v>
      </c>
      <c r="AA858" s="50" t="s">
        <v>2285</v>
      </c>
      <c r="AB858" s="51">
        <v>0.9</v>
      </c>
    </row>
    <row r="859" spans="1:28" ht="13.5" customHeight="1">
      <c r="A859" s="27"/>
      <c r="B859" s="44"/>
      <c r="C859" s="36"/>
      <c r="D859" s="6"/>
      <c r="E859" s="46"/>
      <c r="F859" s="47"/>
      <c r="G859" s="48"/>
      <c r="H859" s="46"/>
      <c r="I859" s="47"/>
      <c r="J859" s="48"/>
      <c r="K859" s="46"/>
      <c r="L859" s="47"/>
      <c r="M859" s="48"/>
      <c r="N859" s="46"/>
      <c r="O859" s="47"/>
      <c r="P859" s="48"/>
      <c r="Q859" s="46" t="s">
        <v>2288</v>
      </c>
      <c r="R859" s="47" t="s">
        <v>2289</v>
      </c>
      <c r="S859" s="48">
        <v>0.1</v>
      </c>
      <c r="T859" s="46" t="s">
        <v>2288</v>
      </c>
      <c r="U859" s="47" t="s">
        <v>2289</v>
      </c>
      <c r="V859" s="48">
        <v>0.1</v>
      </c>
      <c r="W859" s="46" t="s">
        <v>2290</v>
      </c>
      <c r="X859" s="47" t="s">
        <v>2941</v>
      </c>
      <c r="Y859" s="48">
        <v>0.4</v>
      </c>
      <c r="Z859" s="49" t="s">
        <v>1997</v>
      </c>
      <c r="AA859" s="50" t="s">
        <v>2289</v>
      </c>
      <c r="AB859" s="51">
        <v>0.4</v>
      </c>
    </row>
    <row r="860" spans="1:28" ht="13.5" customHeight="1">
      <c r="A860" s="27"/>
      <c r="B860" s="44"/>
      <c r="C860" s="36"/>
      <c r="D860" s="6"/>
      <c r="E860" s="46"/>
      <c r="F860" s="47"/>
      <c r="G860" s="48"/>
      <c r="H860" s="46"/>
      <c r="I860" s="47"/>
      <c r="J860" s="48"/>
      <c r="K860" s="46"/>
      <c r="L860" s="47"/>
      <c r="M860" s="48"/>
      <c r="N860" s="46"/>
      <c r="O860" s="47"/>
      <c r="P860" s="48"/>
      <c r="Q860" s="46" t="s">
        <v>2291</v>
      </c>
      <c r="R860" s="47" t="s">
        <v>2292</v>
      </c>
      <c r="S860" s="48">
        <v>0.4</v>
      </c>
      <c r="T860" s="46" t="s">
        <v>2291</v>
      </c>
      <c r="U860" s="47" t="s">
        <v>2292</v>
      </c>
      <c r="V860" s="48">
        <v>0.4</v>
      </c>
      <c r="W860" s="46" t="s">
        <v>2293</v>
      </c>
      <c r="X860" s="47" t="s">
        <v>2942</v>
      </c>
      <c r="Y860" s="48">
        <v>0.4</v>
      </c>
      <c r="Z860" s="49" t="s">
        <v>2294</v>
      </c>
      <c r="AA860" s="50" t="s">
        <v>2292</v>
      </c>
      <c r="AB860" s="51">
        <v>0.5</v>
      </c>
    </row>
    <row r="861" spans="1:28" ht="13.5" customHeight="1">
      <c r="A861" s="27"/>
      <c r="B861" s="44"/>
      <c r="C861" s="36"/>
      <c r="D861" s="6"/>
      <c r="E861" s="46"/>
      <c r="F861" s="47"/>
      <c r="G861" s="48"/>
      <c r="H861" s="46"/>
      <c r="I861" s="47"/>
      <c r="J861" s="48"/>
      <c r="K861" s="46"/>
      <c r="L861" s="47"/>
      <c r="M861" s="48"/>
      <c r="N861" s="46"/>
      <c r="O861" s="47"/>
      <c r="P861" s="48"/>
      <c r="Q861" s="46"/>
      <c r="R861" s="47"/>
      <c r="S861" s="48"/>
      <c r="T861" s="46"/>
      <c r="U861" s="47"/>
      <c r="V861" s="48"/>
      <c r="W861" s="46"/>
      <c r="X861" s="47"/>
      <c r="Y861" s="48"/>
      <c r="Z861" s="49"/>
      <c r="AA861" s="50"/>
      <c r="AB861" s="51"/>
    </row>
    <row r="862" spans="1:28" ht="13.5" customHeight="1">
      <c r="A862" s="27"/>
      <c r="B862" s="44"/>
      <c r="C862" s="36"/>
      <c r="D862" s="6"/>
      <c r="E862" s="46" t="s">
        <v>2273</v>
      </c>
      <c r="F862" s="47" t="s">
        <v>2943</v>
      </c>
      <c r="G862" s="48">
        <v>3.7</v>
      </c>
      <c r="H862" s="46" t="s">
        <v>2273</v>
      </c>
      <c r="I862" s="47" t="s">
        <v>2943</v>
      </c>
      <c r="J862" s="48">
        <v>3.8</v>
      </c>
      <c r="K862" s="46" t="s">
        <v>2273</v>
      </c>
      <c r="L862" s="47" t="s">
        <v>2943</v>
      </c>
      <c r="M862" s="48">
        <v>4.8</v>
      </c>
      <c r="N862" s="46" t="s">
        <v>2273</v>
      </c>
      <c r="O862" s="47" t="s">
        <v>2943</v>
      </c>
      <c r="P862" s="48">
        <v>5</v>
      </c>
      <c r="Q862" s="46" t="s">
        <v>2295</v>
      </c>
      <c r="R862" s="47" t="s">
        <v>2296</v>
      </c>
      <c r="S862" s="48">
        <v>2</v>
      </c>
      <c r="T862" s="46" t="s">
        <v>2295</v>
      </c>
      <c r="U862" s="47" t="s">
        <v>2296</v>
      </c>
      <c r="V862" s="48">
        <v>2.4</v>
      </c>
      <c r="W862" s="46" t="s">
        <v>2297</v>
      </c>
      <c r="X862" s="47" t="s">
        <v>2944</v>
      </c>
      <c r="Y862" s="48">
        <v>1.5</v>
      </c>
      <c r="Z862" s="49"/>
      <c r="AA862" s="50"/>
      <c r="AB862" s="51"/>
    </row>
    <row r="863" spans="1:28" ht="13.5" customHeight="1">
      <c r="A863" s="27"/>
      <c r="B863" s="44"/>
      <c r="C863" s="36"/>
      <c r="D863" s="6"/>
      <c r="E863" s="46" t="s">
        <v>2277</v>
      </c>
      <c r="F863" s="47" t="s">
        <v>2945</v>
      </c>
      <c r="G863" s="48">
        <v>0.7</v>
      </c>
      <c r="H863" s="46" t="s">
        <v>2277</v>
      </c>
      <c r="I863" s="47" t="s">
        <v>2945</v>
      </c>
      <c r="J863" s="48">
        <v>0.7</v>
      </c>
      <c r="K863" s="46" t="s">
        <v>2277</v>
      </c>
      <c r="L863" s="47" t="s">
        <v>2945</v>
      </c>
      <c r="M863" s="48">
        <v>0.7</v>
      </c>
      <c r="N863" s="46" t="s">
        <v>2277</v>
      </c>
      <c r="O863" s="47" t="s">
        <v>2945</v>
      </c>
      <c r="P863" s="48">
        <v>0.5</v>
      </c>
      <c r="Q863" s="46" t="s">
        <v>2298</v>
      </c>
      <c r="R863" s="47" t="s">
        <v>2977</v>
      </c>
      <c r="S863" s="48">
        <v>0.6</v>
      </c>
      <c r="T863" s="46" t="s">
        <v>2298</v>
      </c>
      <c r="U863" s="47" t="s">
        <v>2945</v>
      </c>
      <c r="V863" s="48">
        <v>0.4</v>
      </c>
      <c r="W863" s="46" t="s">
        <v>2299</v>
      </c>
      <c r="X863" s="47" t="s">
        <v>2946</v>
      </c>
      <c r="Y863" s="48">
        <v>0.8</v>
      </c>
      <c r="Z863" s="49" t="s">
        <v>2300</v>
      </c>
      <c r="AA863" s="50" t="s">
        <v>2301</v>
      </c>
      <c r="AB863" s="51">
        <v>0.5</v>
      </c>
    </row>
    <row r="864" spans="1:28" ht="13.5" customHeight="1">
      <c r="A864" s="27"/>
      <c r="B864" s="44"/>
      <c r="C864" s="36"/>
      <c r="D864" s="6"/>
      <c r="E864" s="46"/>
      <c r="F864" s="47"/>
      <c r="G864" s="48"/>
      <c r="H864" s="46"/>
      <c r="I864" s="47"/>
      <c r="J864" s="48"/>
      <c r="K864" s="46"/>
      <c r="L864" s="47"/>
      <c r="M864" s="48"/>
      <c r="N864" s="46"/>
      <c r="O864" s="47"/>
      <c r="P864" s="48"/>
      <c r="Q864" s="46"/>
      <c r="R864" s="47"/>
      <c r="S864" s="48"/>
      <c r="T864" s="46"/>
      <c r="U864" s="47"/>
      <c r="V864" s="48"/>
      <c r="W864" s="46"/>
      <c r="X864" s="47"/>
      <c r="Y864" s="48"/>
      <c r="Z864" s="49"/>
      <c r="AA864" s="50"/>
      <c r="AB864" s="51"/>
    </row>
    <row r="865" spans="1:28" ht="13.5" customHeight="1">
      <c r="A865" s="27"/>
      <c r="B865" s="161"/>
      <c r="C865" s="82"/>
      <c r="D865" s="83"/>
      <c r="E865" s="46" t="s">
        <v>2280</v>
      </c>
      <c r="F865" s="75" t="s">
        <v>2302</v>
      </c>
      <c r="G865" s="48">
        <v>0.2</v>
      </c>
      <c r="H865" s="46" t="s">
        <v>2280</v>
      </c>
      <c r="I865" s="75" t="s">
        <v>2302</v>
      </c>
      <c r="J865" s="48">
        <v>0.2</v>
      </c>
      <c r="K865" s="46" t="s">
        <v>2280</v>
      </c>
      <c r="L865" s="75" t="s">
        <v>2302</v>
      </c>
      <c r="M865" s="48">
        <v>0.1</v>
      </c>
      <c r="N865" s="46" t="s">
        <v>2280</v>
      </c>
      <c r="O865" s="75" t="s">
        <v>2302</v>
      </c>
      <c r="P865" s="48">
        <v>0.2</v>
      </c>
      <c r="Q865" s="116" t="s">
        <v>2303</v>
      </c>
      <c r="R865" s="75" t="s">
        <v>2302</v>
      </c>
      <c r="S865" s="77">
        <v>0.2</v>
      </c>
      <c r="T865" s="116" t="s">
        <v>2303</v>
      </c>
      <c r="U865" s="75" t="s">
        <v>2302</v>
      </c>
      <c r="V865" s="77">
        <v>0.2</v>
      </c>
      <c r="W865" s="76"/>
      <c r="X865" s="75"/>
      <c r="Y865" s="77"/>
      <c r="Z865" s="78"/>
      <c r="AA865" s="79"/>
      <c r="AB865" s="80"/>
    </row>
    <row r="866" spans="1:28" ht="13.5" customHeight="1">
      <c r="A866" s="27"/>
      <c r="B866" s="36" t="s">
        <v>2304</v>
      </c>
      <c r="C866" s="21"/>
      <c r="D866" s="6" t="s">
        <v>2305</v>
      </c>
      <c r="E866" s="31" t="s">
        <v>2306</v>
      </c>
      <c r="F866" s="63"/>
      <c r="G866" s="33">
        <f>G867</f>
        <v>7.0000000000000009</v>
      </c>
      <c r="H866" s="31" t="s">
        <v>2306</v>
      </c>
      <c r="I866" s="63"/>
      <c r="J866" s="33">
        <f>J867</f>
        <v>6.3</v>
      </c>
      <c r="K866" s="31" t="s">
        <v>2306</v>
      </c>
      <c r="L866" s="63"/>
      <c r="M866" s="33">
        <f>M867</f>
        <v>7.4</v>
      </c>
      <c r="N866" s="31" t="s">
        <v>2306</v>
      </c>
      <c r="O866" s="63"/>
      <c r="P866" s="33">
        <f>P867</f>
        <v>6.9</v>
      </c>
      <c r="Q866" s="31" t="s">
        <v>2306</v>
      </c>
      <c r="R866" s="63"/>
      <c r="S866" s="33">
        <f>S867</f>
        <v>6.4999999999999991</v>
      </c>
      <c r="T866" s="31" t="s">
        <v>2306</v>
      </c>
      <c r="U866" s="63"/>
      <c r="V866" s="33">
        <f>V867</f>
        <v>6.2</v>
      </c>
      <c r="W866" s="62"/>
      <c r="X866" s="63"/>
      <c r="Y866" s="33">
        <f>Y867</f>
        <v>8.3999999999999986</v>
      </c>
      <c r="Z866" s="65"/>
      <c r="AA866" s="66"/>
      <c r="AB866" s="33">
        <f>AB867</f>
        <v>6.6</v>
      </c>
    </row>
    <row r="867" spans="1:28" ht="13.5" customHeight="1">
      <c r="A867" s="27"/>
      <c r="B867" s="144"/>
      <c r="C867" s="136" t="s">
        <v>2307</v>
      </c>
      <c r="D867" s="30" t="s">
        <v>2305</v>
      </c>
      <c r="E867" s="37" t="s">
        <v>2308</v>
      </c>
      <c r="F867" s="216"/>
      <c r="G867" s="39">
        <f>SUM(G868:G885)</f>
        <v>7.0000000000000009</v>
      </c>
      <c r="H867" s="37" t="s">
        <v>2308</v>
      </c>
      <c r="I867" s="216"/>
      <c r="J867" s="39">
        <f>SUM(J868:J885)</f>
        <v>6.3</v>
      </c>
      <c r="K867" s="37" t="s">
        <v>2308</v>
      </c>
      <c r="L867" s="216"/>
      <c r="M867" s="39">
        <f>SUM(M868:M885)</f>
        <v>7.4</v>
      </c>
      <c r="N867" s="37" t="s">
        <v>2308</v>
      </c>
      <c r="O867" s="216"/>
      <c r="P867" s="39">
        <f>SUM(P868:P885)</f>
        <v>6.9</v>
      </c>
      <c r="Q867" s="37" t="s">
        <v>2308</v>
      </c>
      <c r="R867" s="216"/>
      <c r="S867" s="39">
        <f>SUM(S868:S883)</f>
        <v>6.4999999999999991</v>
      </c>
      <c r="T867" s="37" t="s">
        <v>2308</v>
      </c>
      <c r="U867" s="216"/>
      <c r="V867" s="39">
        <f>SUM(V868:V885)</f>
        <v>6.2</v>
      </c>
      <c r="W867" s="217"/>
      <c r="X867" s="216"/>
      <c r="Y867" s="39">
        <f>SUM(Y868:Y883)</f>
        <v>8.3999999999999986</v>
      </c>
      <c r="Z867" s="42"/>
      <c r="AA867" s="43"/>
      <c r="AB867" s="39">
        <f>SUM(AB868:AB883)</f>
        <v>6.6</v>
      </c>
    </row>
    <row r="868" spans="1:28" ht="13.5" customHeight="1">
      <c r="A868" s="27"/>
      <c r="B868" s="44"/>
      <c r="C868" s="36"/>
      <c r="D868" s="6"/>
      <c r="E868" s="46" t="s">
        <v>2310</v>
      </c>
      <c r="F868" s="47" t="s">
        <v>2309</v>
      </c>
      <c r="G868" s="48">
        <v>0.6</v>
      </c>
      <c r="H868" s="46" t="s">
        <v>2310</v>
      </c>
      <c r="I868" s="47" t="s">
        <v>2309</v>
      </c>
      <c r="J868" s="48">
        <v>0.7</v>
      </c>
      <c r="K868" s="46" t="s">
        <v>2310</v>
      </c>
      <c r="L868" s="47" t="s">
        <v>2309</v>
      </c>
      <c r="M868" s="48">
        <v>0.6</v>
      </c>
      <c r="N868" s="46" t="s">
        <v>2310</v>
      </c>
      <c r="O868" s="47" t="s">
        <v>2309</v>
      </c>
      <c r="P868" s="48">
        <v>0.6</v>
      </c>
      <c r="Q868" s="46" t="s">
        <v>2310</v>
      </c>
      <c r="R868" s="47" t="s">
        <v>2309</v>
      </c>
      <c r="S868" s="48">
        <v>0.4</v>
      </c>
      <c r="T868" s="46" t="s">
        <v>2310</v>
      </c>
      <c r="U868" s="47" t="s">
        <v>2309</v>
      </c>
      <c r="V868" s="48">
        <v>0.5</v>
      </c>
      <c r="W868" s="46" t="s">
        <v>2311</v>
      </c>
      <c r="X868" s="47" t="s">
        <v>2947</v>
      </c>
      <c r="Y868" s="48">
        <v>0.5</v>
      </c>
      <c r="Z868" s="49" t="s">
        <v>1970</v>
      </c>
      <c r="AA868" s="50" t="s">
        <v>2309</v>
      </c>
      <c r="AB868" s="51">
        <v>0.6</v>
      </c>
    </row>
    <row r="869" spans="1:28" ht="13.5" customHeight="1">
      <c r="A869" s="27"/>
      <c r="B869" s="44"/>
      <c r="C869" s="36"/>
      <c r="D869" s="6"/>
      <c r="E869" s="46"/>
      <c r="F869" s="47"/>
      <c r="G869" s="48"/>
      <c r="H869" s="46"/>
      <c r="I869" s="47"/>
      <c r="J869" s="48"/>
      <c r="K869" s="46"/>
      <c r="L869" s="47"/>
      <c r="M869" s="48"/>
      <c r="N869" s="46"/>
      <c r="O869" s="47"/>
      <c r="P869" s="48"/>
      <c r="Q869" s="46"/>
      <c r="R869" s="47"/>
      <c r="S869" s="48"/>
      <c r="T869" s="46"/>
      <c r="U869" s="47"/>
      <c r="V869" s="48"/>
      <c r="W869" s="46"/>
      <c r="X869" s="47"/>
      <c r="Y869" s="48"/>
      <c r="Z869" s="49"/>
      <c r="AA869" s="50"/>
      <c r="AB869" s="51"/>
    </row>
    <row r="870" spans="1:28" ht="13.5" customHeight="1">
      <c r="A870" s="27"/>
      <c r="B870" s="44"/>
      <c r="C870" s="44"/>
      <c r="D870" s="6"/>
      <c r="E870" s="46"/>
      <c r="F870" s="47"/>
      <c r="G870" s="48"/>
      <c r="H870" s="46"/>
      <c r="I870" s="47"/>
      <c r="J870" s="48"/>
      <c r="K870" s="46"/>
      <c r="L870" s="47"/>
      <c r="M870" s="48"/>
      <c r="N870" s="46"/>
      <c r="O870" s="47"/>
      <c r="P870" s="48"/>
      <c r="Q870" s="46"/>
      <c r="R870" s="47"/>
      <c r="S870" s="48"/>
      <c r="T870" s="46"/>
      <c r="U870" s="47"/>
      <c r="V870" s="48"/>
      <c r="W870" s="46" t="s">
        <v>2312</v>
      </c>
      <c r="X870" s="47" t="s">
        <v>2948</v>
      </c>
      <c r="Y870" s="48">
        <v>4.8</v>
      </c>
      <c r="Z870" s="49" t="s">
        <v>1782</v>
      </c>
      <c r="AA870" s="50" t="s">
        <v>2313</v>
      </c>
      <c r="AB870" s="51">
        <v>3.7</v>
      </c>
    </row>
    <row r="871" spans="1:28" ht="13.5" customHeight="1">
      <c r="A871" s="27"/>
      <c r="B871" s="44"/>
      <c r="C871" s="36"/>
      <c r="D871" s="6"/>
      <c r="E871" s="46" t="s">
        <v>2315</v>
      </c>
      <c r="F871" s="113" t="s">
        <v>2314</v>
      </c>
      <c r="G871" s="48">
        <v>2.7</v>
      </c>
      <c r="H871" s="46" t="s">
        <v>2315</v>
      </c>
      <c r="I871" s="113" t="s">
        <v>2314</v>
      </c>
      <c r="J871" s="48">
        <v>2.1</v>
      </c>
      <c r="K871" s="46" t="s">
        <v>2315</v>
      </c>
      <c r="L871" s="113" t="s">
        <v>2314</v>
      </c>
      <c r="M871" s="48">
        <v>2.9</v>
      </c>
      <c r="N871" s="46" t="s">
        <v>2315</v>
      </c>
      <c r="O871" s="113" t="s">
        <v>2314</v>
      </c>
      <c r="P871" s="48">
        <v>2.8</v>
      </c>
      <c r="Q871" s="46" t="s">
        <v>2315</v>
      </c>
      <c r="R871" s="113" t="s">
        <v>2314</v>
      </c>
      <c r="S871" s="48">
        <v>2.8</v>
      </c>
      <c r="T871" s="46" t="s">
        <v>2315</v>
      </c>
      <c r="U871" s="113" t="s">
        <v>2314</v>
      </c>
      <c r="V871" s="48">
        <v>2.6</v>
      </c>
      <c r="W871" s="46" t="s">
        <v>2316</v>
      </c>
      <c r="X871" s="113" t="s">
        <v>2949</v>
      </c>
      <c r="Y871" s="48">
        <v>2</v>
      </c>
      <c r="Z871" s="49" t="s">
        <v>1929</v>
      </c>
      <c r="AA871" s="50" t="s">
        <v>2317</v>
      </c>
      <c r="AB871" s="51">
        <v>0.7</v>
      </c>
    </row>
    <row r="872" spans="1:28" ht="13.5" customHeight="1">
      <c r="A872" s="27"/>
      <c r="B872" s="44"/>
      <c r="C872" s="36"/>
      <c r="D872" s="6"/>
      <c r="E872" s="46"/>
      <c r="F872" s="113"/>
      <c r="G872" s="48"/>
      <c r="H872" s="46"/>
      <c r="I872" s="113"/>
      <c r="J872" s="48"/>
      <c r="K872" s="46"/>
      <c r="L872" s="113"/>
      <c r="M872" s="48"/>
      <c r="N872" s="46"/>
      <c r="O872" s="113"/>
      <c r="P872" s="48"/>
      <c r="Q872" s="46"/>
      <c r="R872" s="113"/>
      <c r="S872" s="48"/>
      <c r="T872" s="46"/>
      <c r="U872" s="113"/>
      <c r="V872" s="48"/>
      <c r="W872" s="46"/>
      <c r="X872" s="113"/>
      <c r="Y872" s="48"/>
      <c r="Z872" s="49" t="s">
        <v>1961</v>
      </c>
      <c r="AA872" s="50" t="s">
        <v>2318</v>
      </c>
      <c r="AB872" s="51">
        <v>0.7</v>
      </c>
    </row>
    <row r="873" spans="1:28" ht="13.5" customHeight="1">
      <c r="A873" s="27"/>
      <c r="B873" s="44"/>
      <c r="C873" s="36"/>
      <c r="D873" s="6"/>
      <c r="E873" s="46" t="s">
        <v>2320</v>
      </c>
      <c r="F873" s="47" t="s">
        <v>2319</v>
      </c>
      <c r="G873" s="48">
        <v>1.4</v>
      </c>
      <c r="H873" s="46" t="s">
        <v>2320</v>
      </c>
      <c r="I873" s="47" t="s">
        <v>2319</v>
      </c>
      <c r="J873" s="48">
        <v>1.3</v>
      </c>
      <c r="K873" s="46" t="s">
        <v>2320</v>
      </c>
      <c r="L873" s="47" t="s">
        <v>2319</v>
      </c>
      <c r="M873" s="48">
        <v>1.1000000000000001</v>
      </c>
      <c r="N873" s="46" t="s">
        <v>2320</v>
      </c>
      <c r="O873" s="47" t="s">
        <v>2319</v>
      </c>
      <c r="P873" s="48">
        <v>1.2</v>
      </c>
      <c r="Q873" s="46" t="s">
        <v>2320</v>
      </c>
      <c r="R873" s="47" t="s">
        <v>2319</v>
      </c>
      <c r="S873" s="48">
        <v>1.2</v>
      </c>
      <c r="T873" s="46" t="s">
        <v>2320</v>
      </c>
      <c r="U873" s="47" t="s">
        <v>2319</v>
      </c>
      <c r="V873" s="48">
        <v>0.8</v>
      </c>
      <c r="W873" s="46" t="s">
        <v>2321</v>
      </c>
      <c r="X873" s="47" t="s">
        <v>2950</v>
      </c>
      <c r="Y873" s="48">
        <v>0.9</v>
      </c>
      <c r="Z873" s="49" t="s">
        <v>1969</v>
      </c>
      <c r="AA873" s="50" t="s">
        <v>2319</v>
      </c>
      <c r="AB873" s="51">
        <v>0.6</v>
      </c>
    </row>
    <row r="874" spans="1:28" ht="13.5" customHeight="1">
      <c r="A874" s="27"/>
      <c r="B874" s="44"/>
      <c r="C874" s="36"/>
      <c r="D874" s="6"/>
      <c r="E874" s="46"/>
      <c r="F874" s="47"/>
      <c r="G874" s="48"/>
      <c r="H874" s="46"/>
      <c r="I874" s="47"/>
      <c r="J874" s="48"/>
      <c r="K874" s="46"/>
      <c r="L874" s="47"/>
      <c r="M874" s="48"/>
      <c r="N874" s="46"/>
      <c r="O874" s="47"/>
      <c r="P874" s="48"/>
      <c r="Q874" s="46"/>
      <c r="R874" s="47"/>
      <c r="S874" s="48"/>
      <c r="T874" s="46"/>
      <c r="U874" s="47"/>
      <c r="V874" s="48"/>
      <c r="W874" s="46"/>
      <c r="X874" s="47"/>
      <c r="Y874" s="48"/>
      <c r="Z874" s="49" t="s">
        <v>856</v>
      </c>
      <c r="AA874" s="50" t="s">
        <v>2322</v>
      </c>
      <c r="AB874" s="51">
        <v>0.1</v>
      </c>
    </row>
    <row r="875" spans="1:28" ht="13.5" customHeight="1">
      <c r="A875" s="27"/>
      <c r="B875" s="44"/>
      <c r="C875" s="36"/>
      <c r="D875" s="6"/>
      <c r="E875" s="46"/>
      <c r="F875" s="47"/>
      <c r="G875" s="48"/>
      <c r="H875" s="46"/>
      <c r="I875" s="47"/>
      <c r="J875" s="48"/>
      <c r="K875" s="46"/>
      <c r="L875" s="47"/>
      <c r="M875" s="48"/>
      <c r="N875" s="46"/>
      <c r="O875" s="47"/>
      <c r="P875" s="48"/>
      <c r="Q875" s="46"/>
      <c r="R875" s="47"/>
      <c r="S875" s="48"/>
      <c r="T875" s="46"/>
      <c r="U875" s="47"/>
      <c r="V875" s="48"/>
      <c r="W875" s="46"/>
      <c r="X875" s="47"/>
      <c r="Y875" s="48"/>
      <c r="Z875" s="49"/>
      <c r="AA875" s="50"/>
      <c r="AB875" s="51"/>
    </row>
    <row r="876" spans="1:28" ht="13.5" customHeight="1">
      <c r="A876" s="27"/>
      <c r="B876" s="44"/>
      <c r="C876" s="36"/>
      <c r="D876" s="6"/>
      <c r="E876" s="46" t="s">
        <v>2324</v>
      </c>
      <c r="F876" s="47" t="s">
        <v>2323</v>
      </c>
      <c r="G876" s="48">
        <v>0.2</v>
      </c>
      <c r="H876" s="46" t="s">
        <v>2324</v>
      </c>
      <c r="I876" s="47" t="s">
        <v>2323</v>
      </c>
      <c r="J876" s="48">
        <v>0.2</v>
      </c>
      <c r="K876" s="46" t="s">
        <v>2324</v>
      </c>
      <c r="L876" s="47" t="s">
        <v>2323</v>
      </c>
      <c r="M876" s="48">
        <v>0.4</v>
      </c>
      <c r="N876" s="46" t="s">
        <v>2324</v>
      </c>
      <c r="O876" s="47" t="s">
        <v>2323</v>
      </c>
      <c r="P876" s="48">
        <v>0.3</v>
      </c>
      <c r="Q876" s="46" t="s">
        <v>2324</v>
      </c>
      <c r="R876" s="47" t="s">
        <v>2323</v>
      </c>
      <c r="S876" s="48">
        <v>0.3</v>
      </c>
      <c r="T876" s="46" t="s">
        <v>2324</v>
      </c>
      <c r="U876" s="47" t="s">
        <v>2323</v>
      </c>
      <c r="V876" s="48">
        <v>0.2</v>
      </c>
      <c r="W876" s="46" t="s">
        <v>2325</v>
      </c>
      <c r="X876" s="47" t="s">
        <v>2951</v>
      </c>
      <c r="Y876" s="48">
        <v>0.2</v>
      </c>
      <c r="Z876" s="49" t="s">
        <v>1964</v>
      </c>
      <c r="AA876" s="50" t="s">
        <v>2323</v>
      </c>
      <c r="AB876" s="51">
        <v>0.2</v>
      </c>
    </row>
    <row r="877" spans="1:28" ht="13.5" customHeight="1">
      <c r="A877" s="27"/>
      <c r="B877" s="44"/>
      <c r="C877" s="36"/>
      <c r="D877" s="6"/>
      <c r="E877" s="46"/>
      <c r="F877" s="47"/>
      <c r="G877" s="48"/>
      <c r="H877" s="46"/>
      <c r="I877" s="47"/>
      <c r="J877" s="48"/>
      <c r="K877" s="46"/>
      <c r="L877" s="47"/>
      <c r="M877" s="48"/>
      <c r="N877" s="46"/>
      <c r="O877" s="47"/>
      <c r="P877" s="48"/>
      <c r="Q877" s="46"/>
      <c r="R877" s="47"/>
      <c r="S877" s="48"/>
      <c r="T877" s="46"/>
      <c r="U877" s="47"/>
      <c r="V877" s="48"/>
      <c r="W877" s="46"/>
      <c r="X877" s="47"/>
      <c r="Y877" s="48"/>
      <c r="Z877" s="49"/>
      <c r="AA877" s="50"/>
      <c r="AB877" s="51"/>
    </row>
    <row r="878" spans="1:28" ht="13.5" customHeight="1">
      <c r="A878" s="27"/>
      <c r="B878" s="44"/>
      <c r="C878" s="36"/>
      <c r="D878" s="6"/>
      <c r="E878" s="46"/>
      <c r="F878" s="47"/>
      <c r="G878" s="48"/>
      <c r="H878" s="46"/>
      <c r="I878" s="47"/>
      <c r="J878" s="48"/>
      <c r="K878" s="46"/>
      <c r="L878" s="47"/>
      <c r="M878" s="48"/>
      <c r="N878" s="46"/>
      <c r="O878" s="47"/>
      <c r="P878" s="48"/>
      <c r="Q878" s="46"/>
      <c r="R878" s="47"/>
      <c r="S878" s="48"/>
      <c r="T878" s="46"/>
      <c r="U878" s="47"/>
      <c r="V878" s="48"/>
      <c r="W878" s="46"/>
      <c r="X878" s="47"/>
      <c r="Y878" s="48"/>
      <c r="Z878" s="49"/>
      <c r="AA878" s="50"/>
      <c r="AB878" s="51"/>
    </row>
    <row r="879" spans="1:28" ht="13.5" customHeight="1">
      <c r="A879" s="27"/>
      <c r="B879" s="44"/>
      <c r="C879" s="36"/>
      <c r="D879" s="6"/>
      <c r="E879" s="46"/>
      <c r="F879" s="47"/>
      <c r="G879" s="48"/>
      <c r="H879" s="46"/>
      <c r="I879" s="47"/>
      <c r="J879" s="48"/>
      <c r="K879" s="46"/>
      <c r="L879" s="47"/>
      <c r="M879" s="48"/>
      <c r="N879" s="46"/>
      <c r="O879" s="47"/>
      <c r="P879" s="48"/>
      <c r="Q879" s="46"/>
      <c r="R879" s="47"/>
      <c r="S879" s="48"/>
      <c r="T879" s="46"/>
      <c r="U879" s="47"/>
      <c r="V879" s="48"/>
      <c r="W879" s="46"/>
      <c r="X879" s="47"/>
      <c r="Y879" s="48"/>
      <c r="Z879" s="49"/>
      <c r="AA879" s="50"/>
      <c r="AB879" s="51"/>
    </row>
    <row r="880" spans="1:28" ht="13.5" customHeight="1">
      <c r="A880" s="27"/>
      <c r="B880" s="44"/>
      <c r="C880" s="36"/>
      <c r="D880" s="6"/>
      <c r="E880" s="46"/>
      <c r="F880" s="47"/>
      <c r="G880" s="48"/>
      <c r="H880" s="46"/>
      <c r="I880" s="47"/>
      <c r="J880" s="48"/>
      <c r="K880" s="46"/>
      <c r="L880" s="47"/>
      <c r="M880" s="48"/>
      <c r="N880" s="46"/>
      <c r="O880" s="47"/>
      <c r="P880" s="48"/>
      <c r="Q880" s="46"/>
      <c r="R880" s="47"/>
      <c r="S880" s="48"/>
      <c r="T880" s="46"/>
      <c r="U880" s="47"/>
      <c r="V880" s="48"/>
      <c r="W880" s="46"/>
      <c r="X880" s="47"/>
      <c r="Y880" s="48"/>
      <c r="Z880" s="49"/>
      <c r="AA880" s="50"/>
      <c r="AB880" s="51"/>
    </row>
    <row r="881" spans="1:28" ht="13.5" customHeight="1">
      <c r="A881" s="27"/>
      <c r="B881" s="44"/>
      <c r="C881" s="36"/>
      <c r="D881" s="6"/>
      <c r="E881" s="46"/>
      <c r="F881" s="47"/>
      <c r="G881" s="48"/>
      <c r="H881" s="46"/>
      <c r="I881" s="47"/>
      <c r="J881" s="48"/>
      <c r="K881" s="46"/>
      <c r="L881" s="47"/>
      <c r="M881" s="48"/>
      <c r="N881" s="46"/>
      <c r="O881" s="47"/>
      <c r="P881" s="48"/>
      <c r="Q881" s="46"/>
      <c r="R881" s="47"/>
      <c r="S881" s="48"/>
      <c r="T881" s="46"/>
      <c r="U881" s="47"/>
      <c r="V881" s="48"/>
      <c r="W881" s="46"/>
      <c r="X881" s="47"/>
      <c r="Y881" s="48"/>
      <c r="Z881" s="49"/>
      <c r="AA881" s="50"/>
      <c r="AB881" s="51"/>
    </row>
    <row r="882" spans="1:28" ht="13.5" customHeight="1">
      <c r="A882" s="27"/>
      <c r="B882" s="44"/>
      <c r="C882" s="36"/>
      <c r="D882" s="6"/>
      <c r="E882" s="46" t="s">
        <v>2327</v>
      </c>
      <c r="F882" s="47" t="s">
        <v>2326</v>
      </c>
      <c r="G882" s="48">
        <v>1</v>
      </c>
      <c r="H882" s="46" t="s">
        <v>2327</v>
      </c>
      <c r="I882" s="47" t="s">
        <v>2326</v>
      </c>
      <c r="J882" s="48">
        <v>0.9</v>
      </c>
      <c r="K882" s="46" t="s">
        <v>2327</v>
      </c>
      <c r="L882" s="47" t="s">
        <v>2326</v>
      </c>
      <c r="M882" s="48">
        <v>0.9</v>
      </c>
      <c r="N882" s="46" t="s">
        <v>2327</v>
      </c>
      <c r="O882" s="47" t="s">
        <v>2326</v>
      </c>
      <c r="P882" s="48">
        <v>0.7</v>
      </c>
      <c r="Q882" s="46" t="s">
        <v>2327</v>
      </c>
      <c r="R882" s="47" t="s">
        <v>2326</v>
      </c>
      <c r="S882" s="48">
        <v>1</v>
      </c>
      <c r="T882" s="46" t="s">
        <v>2327</v>
      </c>
      <c r="U882" s="47" t="s">
        <v>2326</v>
      </c>
      <c r="V882" s="48">
        <v>1.3</v>
      </c>
      <c r="W882" s="46"/>
      <c r="X882" s="47"/>
      <c r="Y882" s="48"/>
      <c r="Z882" s="49"/>
      <c r="AA882" s="50"/>
      <c r="AB882" s="51"/>
    </row>
    <row r="883" spans="1:28" ht="13.5" customHeight="1">
      <c r="A883" s="27"/>
      <c r="B883" s="44"/>
      <c r="C883" s="36"/>
      <c r="D883" s="6"/>
      <c r="E883" s="46" t="s">
        <v>2329</v>
      </c>
      <c r="F883" s="47" t="s">
        <v>2328</v>
      </c>
      <c r="G883" s="48">
        <v>0.2</v>
      </c>
      <c r="H883" s="46" t="s">
        <v>2329</v>
      </c>
      <c r="I883" s="47" t="s">
        <v>2328</v>
      </c>
      <c r="J883" s="48">
        <v>0.1</v>
      </c>
      <c r="K883" s="46" t="s">
        <v>2329</v>
      </c>
      <c r="L883" s="47" t="s">
        <v>2328</v>
      </c>
      <c r="M883" s="48">
        <v>0.9</v>
      </c>
      <c r="N883" s="46" t="s">
        <v>2329</v>
      </c>
      <c r="O883" s="47" t="s">
        <v>2328</v>
      </c>
      <c r="P883" s="48">
        <v>0.9</v>
      </c>
      <c r="Q883" s="46" t="s">
        <v>2329</v>
      </c>
      <c r="R883" s="47" t="s">
        <v>2328</v>
      </c>
      <c r="S883" s="48">
        <v>0.8</v>
      </c>
      <c r="T883" s="46" t="s">
        <v>2329</v>
      </c>
      <c r="U883" s="47" t="s">
        <v>2328</v>
      </c>
      <c r="V883" s="48">
        <v>0.8</v>
      </c>
      <c r="W883" s="46"/>
      <c r="X883" s="47"/>
      <c r="Y883" s="48"/>
      <c r="Z883" s="49"/>
      <c r="AA883" s="50"/>
      <c r="AB883" s="51"/>
    </row>
    <row r="884" spans="1:28" ht="13.5" customHeight="1">
      <c r="A884" s="27"/>
      <c r="B884" s="44"/>
      <c r="C884" s="36"/>
      <c r="D884" s="6"/>
      <c r="E884" s="46" t="s">
        <v>2975</v>
      </c>
      <c r="F884" s="56" t="s">
        <v>2980</v>
      </c>
      <c r="G884" s="48">
        <v>0.4</v>
      </c>
      <c r="H884" s="46" t="s">
        <v>2975</v>
      </c>
      <c r="I884" s="56" t="s">
        <v>2980</v>
      </c>
      <c r="J884" s="48">
        <v>0.5</v>
      </c>
      <c r="K884" s="46"/>
      <c r="L884" s="56"/>
      <c r="M884" s="48"/>
      <c r="N884" s="46"/>
      <c r="O884" s="56"/>
      <c r="P884" s="48"/>
      <c r="Q884" s="57"/>
      <c r="R884" s="56"/>
      <c r="S884" s="58"/>
      <c r="T884" s="57"/>
      <c r="U884" s="56"/>
      <c r="V884" s="58"/>
      <c r="W884" s="57"/>
      <c r="X884" s="56"/>
      <c r="Y884" s="58"/>
      <c r="Z884" s="59"/>
      <c r="AA884" s="60"/>
      <c r="AB884" s="61"/>
    </row>
    <row r="885" spans="1:28" ht="13.5" customHeight="1">
      <c r="A885" s="27"/>
      <c r="B885" s="114"/>
      <c r="C885" s="82"/>
      <c r="D885" s="83"/>
      <c r="E885" s="46" t="s">
        <v>2979</v>
      </c>
      <c r="F885" s="75" t="s">
        <v>2330</v>
      </c>
      <c r="G885" s="48">
        <v>0.5</v>
      </c>
      <c r="H885" s="46" t="s">
        <v>2979</v>
      </c>
      <c r="I885" s="75" t="s">
        <v>2330</v>
      </c>
      <c r="J885" s="48">
        <v>0.5</v>
      </c>
      <c r="K885" s="46" t="s">
        <v>2975</v>
      </c>
      <c r="L885" s="75" t="s">
        <v>2330</v>
      </c>
      <c r="M885" s="48">
        <v>0.6</v>
      </c>
      <c r="N885" s="46" t="s">
        <v>2975</v>
      </c>
      <c r="O885" s="75" t="s">
        <v>2330</v>
      </c>
      <c r="P885" s="48">
        <v>0.4</v>
      </c>
      <c r="Q885" s="116"/>
      <c r="R885" s="75"/>
      <c r="S885" s="201"/>
      <c r="T885" s="116"/>
      <c r="U885" s="75"/>
      <c r="V885" s="201"/>
      <c r="W885" s="78"/>
      <c r="X885" s="198"/>
      <c r="Y885" s="201"/>
      <c r="Z885" s="78"/>
      <c r="AA885" s="79"/>
      <c r="AB885" s="80"/>
    </row>
    <row r="886" spans="1:28" ht="13.5" customHeight="1">
      <c r="A886" s="27"/>
      <c r="B886" s="36" t="s">
        <v>2331</v>
      </c>
      <c r="C886" s="20"/>
      <c r="D886" s="6" t="s">
        <v>2332</v>
      </c>
      <c r="E886" s="31" t="s">
        <v>2333</v>
      </c>
      <c r="F886" s="218"/>
      <c r="G886" s="33">
        <f>G887</f>
        <v>19.799999999999997</v>
      </c>
      <c r="H886" s="31" t="s">
        <v>2333</v>
      </c>
      <c r="I886" s="218"/>
      <c r="J886" s="33">
        <f>J887</f>
        <v>21.799999999999997</v>
      </c>
      <c r="K886" s="31" t="s">
        <v>2333</v>
      </c>
      <c r="L886" s="218"/>
      <c r="M886" s="33">
        <f>M887</f>
        <v>19.7</v>
      </c>
      <c r="N886" s="31" t="s">
        <v>2333</v>
      </c>
      <c r="O886" s="218"/>
      <c r="P886" s="33">
        <f>P887</f>
        <v>18.8</v>
      </c>
      <c r="Q886" s="31" t="s">
        <v>2333</v>
      </c>
      <c r="R886" s="218"/>
      <c r="S886" s="33">
        <f>S887</f>
        <v>13.799999999999999</v>
      </c>
      <c r="T886" s="31" t="s">
        <v>2333</v>
      </c>
      <c r="U886" s="218"/>
      <c r="V886" s="33">
        <f>V887</f>
        <v>19.399999999999995</v>
      </c>
      <c r="W886" s="94"/>
      <c r="X886" s="218"/>
      <c r="Y886" s="33">
        <f>Y887</f>
        <v>22.299999999999997</v>
      </c>
      <c r="Z886" s="94"/>
      <c r="AA886" s="95"/>
      <c r="AB886" s="33">
        <f>AB887</f>
        <v>13.500000000000004</v>
      </c>
    </row>
    <row r="887" spans="1:28" ht="13.5" customHeight="1">
      <c r="A887" s="27"/>
      <c r="B887" s="44"/>
      <c r="C887" s="136" t="s">
        <v>2334</v>
      </c>
      <c r="D887" s="30" t="s">
        <v>2332</v>
      </c>
      <c r="E887" s="37" t="s">
        <v>2335</v>
      </c>
      <c r="F887" s="203"/>
      <c r="G887" s="184">
        <f>SUM(G888:G905)</f>
        <v>19.799999999999997</v>
      </c>
      <c r="H887" s="37" t="s">
        <v>2335</v>
      </c>
      <c r="I887" s="203"/>
      <c r="J887" s="184">
        <f>SUM(J888:J905)</f>
        <v>21.799999999999997</v>
      </c>
      <c r="K887" s="37" t="s">
        <v>2335</v>
      </c>
      <c r="L887" s="203"/>
      <c r="M887" s="184">
        <f>SUM(M888:M905)</f>
        <v>19.7</v>
      </c>
      <c r="N887" s="37" t="s">
        <v>2335</v>
      </c>
      <c r="O887" s="203"/>
      <c r="P887" s="184">
        <f>SUM(P888:P905)</f>
        <v>18.8</v>
      </c>
      <c r="Q887" s="37" t="s">
        <v>2335</v>
      </c>
      <c r="R887" s="203"/>
      <c r="S887" s="184">
        <f>SUM(S888:S905)</f>
        <v>13.799999999999999</v>
      </c>
      <c r="T887" s="37" t="s">
        <v>2335</v>
      </c>
      <c r="U887" s="203"/>
      <c r="V887" s="184">
        <f>SUM(V888:V905)</f>
        <v>19.399999999999995</v>
      </c>
      <c r="W887" s="42"/>
      <c r="X887" s="203"/>
      <c r="Y887" s="184">
        <f>SUM(Y888:Y905)</f>
        <v>22.299999999999997</v>
      </c>
      <c r="Z887" s="42"/>
      <c r="AA887" s="43"/>
      <c r="AB887" s="184">
        <f>SUM(AB888:AB905)</f>
        <v>13.500000000000004</v>
      </c>
    </row>
    <row r="888" spans="1:28" ht="13.5" customHeight="1">
      <c r="A888" s="27"/>
      <c r="B888" s="105"/>
      <c r="C888" s="36"/>
      <c r="D888" s="6"/>
      <c r="E888" s="46" t="s">
        <v>2337</v>
      </c>
      <c r="F888" s="47" t="s">
        <v>2336</v>
      </c>
      <c r="G888" s="48">
        <v>0.7</v>
      </c>
      <c r="H888" s="46" t="s">
        <v>2337</v>
      </c>
      <c r="I888" s="47" t="s">
        <v>2336</v>
      </c>
      <c r="J888" s="48">
        <v>1</v>
      </c>
      <c r="K888" s="46" t="s">
        <v>2337</v>
      </c>
      <c r="L888" s="47" t="s">
        <v>2336</v>
      </c>
      <c r="M888" s="48">
        <v>1.7</v>
      </c>
      <c r="N888" s="46" t="s">
        <v>2337</v>
      </c>
      <c r="O888" s="47" t="s">
        <v>2336</v>
      </c>
      <c r="P888" s="48">
        <v>2.4</v>
      </c>
      <c r="Q888" s="46" t="s">
        <v>2337</v>
      </c>
      <c r="R888" s="47" t="s">
        <v>2336</v>
      </c>
      <c r="S888" s="48">
        <v>3.4</v>
      </c>
      <c r="T888" s="46" t="s">
        <v>2337</v>
      </c>
      <c r="U888" s="47" t="s">
        <v>2336</v>
      </c>
      <c r="V888" s="48">
        <v>10</v>
      </c>
      <c r="W888" s="46" t="s">
        <v>2338</v>
      </c>
      <c r="X888" s="47" t="s">
        <v>2952</v>
      </c>
      <c r="Y888" s="48">
        <v>9.9</v>
      </c>
      <c r="Z888" s="49" t="s">
        <v>2339</v>
      </c>
      <c r="AA888" s="50" t="s">
        <v>2336</v>
      </c>
      <c r="AB888" s="51">
        <v>4.2</v>
      </c>
    </row>
    <row r="889" spans="1:28" ht="13.5" customHeight="1">
      <c r="A889" s="27"/>
      <c r="B889" s="44"/>
      <c r="C889" s="36"/>
      <c r="D889" s="6"/>
      <c r="E889" s="46" t="s">
        <v>2341</v>
      </c>
      <c r="F889" s="47" t="s">
        <v>2340</v>
      </c>
      <c r="G889" s="48">
        <v>0.7</v>
      </c>
      <c r="H889" s="46" t="s">
        <v>2341</v>
      </c>
      <c r="I889" s="47" t="s">
        <v>2340</v>
      </c>
      <c r="J889" s="48">
        <v>0.6</v>
      </c>
      <c r="K889" s="46" t="s">
        <v>2341</v>
      </c>
      <c r="L889" s="47" t="s">
        <v>2340</v>
      </c>
      <c r="M889" s="48">
        <v>0.9</v>
      </c>
      <c r="N889" s="46" t="s">
        <v>2341</v>
      </c>
      <c r="O889" s="47" t="s">
        <v>2340</v>
      </c>
      <c r="P889" s="48">
        <v>0.6</v>
      </c>
      <c r="Q889" s="46" t="s">
        <v>2341</v>
      </c>
      <c r="R889" s="47" t="s">
        <v>2340</v>
      </c>
      <c r="S889" s="48">
        <v>0.7</v>
      </c>
      <c r="T889" s="46" t="s">
        <v>2341</v>
      </c>
      <c r="U889" s="47" t="s">
        <v>2340</v>
      </c>
      <c r="V889" s="48">
        <v>0.5</v>
      </c>
      <c r="W889" s="46" t="s">
        <v>1320</v>
      </c>
      <c r="X889" s="47" t="s">
        <v>2953</v>
      </c>
      <c r="Y889" s="48">
        <v>0.2</v>
      </c>
      <c r="Z889" s="49" t="s">
        <v>2342</v>
      </c>
      <c r="AA889" s="50" t="s">
        <v>2340</v>
      </c>
      <c r="AB889" s="51">
        <v>0.2</v>
      </c>
    </row>
    <row r="890" spans="1:28" ht="13.5" customHeight="1">
      <c r="A890" s="27"/>
      <c r="B890" s="44"/>
      <c r="C890" s="36"/>
      <c r="D890" s="6"/>
      <c r="E890" s="46" t="s">
        <v>2343</v>
      </c>
      <c r="F890" s="47" t="s">
        <v>2954</v>
      </c>
      <c r="G890" s="48">
        <v>3.7</v>
      </c>
      <c r="H890" s="46" t="s">
        <v>2343</v>
      </c>
      <c r="I890" s="47" t="s">
        <v>2954</v>
      </c>
      <c r="J890" s="48">
        <v>3.9</v>
      </c>
      <c r="K890" s="46" t="s">
        <v>2343</v>
      </c>
      <c r="L890" s="47" t="s">
        <v>2954</v>
      </c>
      <c r="M890" s="48">
        <v>3.1</v>
      </c>
      <c r="N890" s="46" t="s">
        <v>2343</v>
      </c>
      <c r="O890" s="47" t="s">
        <v>2954</v>
      </c>
      <c r="P890" s="48">
        <v>3.1</v>
      </c>
      <c r="Q890" s="46" t="s">
        <v>2343</v>
      </c>
      <c r="R890" s="47" t="s">
        <v>2344</v>
      </c>
      <c r="S890" s="48">
        <v>1.3</v>
      </c>
      <c r="T890" s="46" t="s">
        <v>2343</v>
      </c>
      <c r="U890" s="47" t="s">
        <v>2344</v>
      </c>
      <c r="V890" s="48">
        <v>1.4</v>
      </c>
      <c r="W890" s="46" t="s">
        <v>2345</v>
      </c>
      <c r="X890" s="47" t="s">
        <v>2955</v>
      </c>
      <c r="Y890" s="48">
        <v>2.6</v>
      </c>
      <c r="Z890" s="49" t="s">
        <v>2346</v>
      </c>
      <c r="AA890" s="50" t="s">
        <v>2347</v>
      </c>
      <c r="AB890" s="51">
        <v>2.2000000000000002</v>
      </c>
    </row>
    <row r="891" spans="1:28" ht="13.5" customHeight="1">
      <c r="A891" s="19"/>
      <c r="B891" s="44"/>
      <c r="C891" s="36"/>
      <c r="D891" s="6"/>
      <c r="E891" s="46"/>
      <c r="F891" s="47"/>
      <c r="G891" s="48"/>
      <c r="H891" s="46"/>
      <c r="I891" s="47"/>
      <c r="J891" s="48"/>
      <c r="K891" s="46"/>
      <c r="L891" s="47"/>
      <c r="M891" s="48"/>
      <c r="N891" s="46"/>
      <c r="O891" s="47"/>
      <c r="P891" s="48"/>
      <c r="Q891" s="46" t="s">
        <v>2348</v>
      </c>
      <c r="R891" s="47" t="s">
        <v>2349</v>
      </c>
      <c r="S891" s="48">
        <v>3.7</v>
      </c>
      <c r="T891" s="46" t="s">
        <v>2348</v>
      </c>
      <c r="U891" s="47" t="s">
        <v>2349</v>
      </c>
      <c r="V891" s="48">
        <v>3.1</v>
      </c>
      <c r="W891" s="46" t="s">
        <v>2350</v>
      </c>
      <c r="X891" s="47" t="s">
        <v>2956</v>
      </c>
      <c r="Y891" s="48">
        <v>4.5</v>
      </c>
      <c r="Z891" s="49" t="s">
        <v>2351</v>
      </c>
      <c r="AA891" s="50" t="s">
        <v>2352</v>
      </c>
      <c r="AB891" s="51">
        <v>4</v>
      </c>
    </row>
    <row r="892" spans="1:28" ht="13.5" customHeight="1">
      <c r="A892" s="27"/>
      <c r="B892" s="44"/>
      <c r="C892" s="36"/>
      <c r="D892" s="6"/>
      <c r="E892" s="46" t="s">
        <v>2976</v>
      </c>
      <c r="F892" s="106" t="s">
        <v>2957</v>
      </c>
      <c r="G892" s="48">
        <v>8.6</v>
      </c>
      <c r="H892" s="46" t="s">
        <v>2976</v>
      </c>
      <c r="I892" s="106" t="s">
        <v>2957</v>
      </c>
      <c r="J892" s="48">
        <v>8.6</v>
      </c>
      <c r="K892" s="46" t="s">
        <v>2976</v>
      </c>
      <c r="L892" s="106" t="s">
        <v>2957</v>
      </c>
      <c r="M892" s="48">
        <v>6.9</v>
      </c>
      <c r="N892" s="46" t="s">
        <v>2976</v>
      </c>
      <c r="O892" s="106" t="s">
        <v>2957</v>
      </c>
      <c r="P892" s="48">
        <v>6.1</v>
      </c>
      <c r="Q892" s="219"/>
      <c r="R892" s="220"/>
      <c r="S892" s="107"/>
      <c r="T892" s="219"/>
      <c r="U892" s="220"/>
      <c r="V892" s="107"/>
      <c r="W892" s="219"/>
      <c r="X892" s="220"/>
      <c r="Y892" s="107"/>
      <c r="Z892" s="49"/>
      <c r="AA892" s="50"/>
      <c r="AB892" s="51"/>
    </row>
    <row r="893" spans="1:28" ht="13.5" customHeight="1">
      <c r="A893" s="27"/>
      <c r="B893" s="44"/>
      <c r="C893" s="36"/>
      <c r="D893" s="6"/>
      <c r="E893" s="46" t="s">
        <v>2348</v>
      </c>
      <c r="F893" s="47" t="s">
        <v>2353</v>
      </c>
      <c r="G893" s="48">
        <v>0.2</v>
      </c>
      <c r="H893" s="46" t="s">
        <v>2348</v>
      </c>
      <c r="I893" s="47" t="s">
        <v>2353</v>
      </c>
      <c r="J893" s="48">
        <v>0.2</v>
      </c>
      <c r="K893" s="46" t="s">
        <v>2348</v>
      </c>
      <c r="L893" s="47" t="s">
        <v>2353</v>
      </c>
      <c r="M893" s="48">
        <v>0.1</v>
      </c>
      <c r="N893" s="46" t="s">
        <v>2348</v>
      </c>
      <c r="O893" s="47" t="s">
        <v>2353</v>
      </c>
      <c r="P893" s="48">
        <v>0.2</v>
      </c>
      <c r="Q893" s="46" t="s">
        <v>2354</v>
      </c>
      <c r="R893" s="47" t="s">
        <v>2353</v>
      </c>
      <c r="S893" s="48">
        <v>0.2</v>
      </c>
      <c r="T893" s="46" t="s">
        <v>2354</v>
      </c>
      <c r="U893" s="47" t="s">
        <v>2353</v>
      </c>
      <c r="V893" s="48">
        <v>0.2</v>
      </c>
      <c r="W893" s="46" t="s">
        <v>2355</v>
      </c>
      <c r="X893" s="47" t="s">
        <v>2958</v>
      </c>
      <c r="Y893" s="48">
        <v>0.9</v>
      </c>
      <c r="Z893" s="49" t="s">
        <v>2356</v>
      </c>
      <c r="AA893" s="50" t="s">
        <v>2353</v>
      </c>
      <c r="AB893" s="51">
        <v>0.4</v>
      </c>
    </row>
    <row r="894" spans="1:28" ht="13.5" customHeight="1">
      <c r="A894" s="27"/>
      <c r="B894" s="44"/>
      <c r="C894" s="36"/>
      <c r="D894" s="6"/>
      <c r="E894" s="46"/>
      <c r="F894" s="47"/>
      <c r="G894" s="48"/>
      <c r="H894" s="46"/>
      <c r="I894" s="47"/>
      <c r="J894" s="48"/>
      <c r="K894" s="46"/>
      <c r="L894" s="47"/>
      <c r="M894" s="48"/>
      <c r="N894" s="46"/>
      <c r="O894" s="47"/>
      <c r="P894" s="48"/>
      <c r="Q894" s="46"/>
      <c r="R894" s="47"/>
      <c r="S894" s="48"/>
      <c r="T894" s="46"/>
      <c r="U894" s="47"/>
      <c r="V894" s="48"/>
      <c r="W894" s="46"/>
      <c r="X894" s="47"/>
      <c r="Y894" s="48"/>
      <c r="Z894" s="49" t="s">
        <v>2357</v>
      </c>
      <c r="AA894" s="50" t="s">
        <v>2358</v>
      </c>
      <c r="AB894" s="51">
        <v>0.4</v>
      </c>
    </row>
    <row r="895" spans="1:28" ht="13.5" customHeight="1">
      <c r="A895" s="27"/>
      <c r="B895" s="44"/>
      <c r="C895" s="36"/>
      <c r="D895" s="6"/>
      <c r="E895" s="46"/>
      <c r="F895" s="47"/>
      <c r="G895" s="48"/>
      <c r="H895" s="46"/>
      <c r="I895" s="47"/>
      <c r="J895" s="48"/>
      <c r="K895" s="46"/>
      <c r="L895" s="47"/>
      <c r="M895" s="48"/>
      <c r="N895" s="46"/>
      <c r="O895" s="47"/>
      <c r="P895" s="48"/>
      <c r="Q895" s="46"/>
      <c r="R895" s="47"/>
      <c r="S895" s="48"/>
      <c r="T895" s="46"/>
      <c r="U895" s="47"/>
      <c r="V895" s="48"/>
      <c r="W895" s="46"/>
      <c r="X895" s="47"/>
      <c r="Y895" s="48"/>
      <c r="Z895" s="49"/>
      <c r="AA895" s="50"/>
      <c r="AB895" s="51"/>
    </row>
    <row r="896" spans="1:28" ht="13.5" customHeight="1">
      <c r="A896" s="27"/>
      <c r="B896" s="44"/>
      <c r="C896" s="44"/>
      <c r="D896" s="6"/>
      <c r="E896" s="46" t="s">
        <v>2378</v>
      </c>
      <c r="F896" s="113" t="s">
        <v>2359</v>
      </c>
      <c r="G896" s="48">
        <v>1.1000000000000001</v>
      </c>
      <c r="H896" s="46" t="s">
        <v>2378</v>
      </c>
      <c r="I896" s="113" t="s">
        <v>2359</v>
      </c>
      <c r="J896" s="48">
        <v>0.9</v>
      </c>
      <c r="K896" s="46" t="s">
        <v>2378</v>
      </c>
      <c r="L896" s="113" t="s">
        <v>2359</v>
      </c>
      <c r="M896" s="48">
        <v>1</v>
      </c>
      <c r="N896" s="46" t="s">
        <v>2378</v>
      </c>
      <c r="O896" s="113" t="s">
        <v>2359</v>
      </c>
      <c r="P896" s="48">
        <v>1.1000000000000001</v>
      </c>
      <c r="Q896" s="46" t="s">
        <v>2360</v>
      </c>
      <c r="R896" s="113" t="s">
        <v>2359</v>
      </c>
      <c r="S896" s="48">
        <v>0.7</v>
      </c>
      <c r="T896" s="46" t="s">
        <v>2360</v>
      </c>
      <c r="U896" s="113" t="s">
        <v>2359</v>
      </c>
      <c r="V896" s="48">
        <v>0.9</v>
      </c>
      <c r="W896" s="46" t="s">
        <v>2361</v>
      </c>
      <c r="X896" s="113" t="s">
        <v>2959</v>
      </c>
      <c r="Y896" s="48">
        <v>1.4</v>
      </c>
      <c r="Z896" s="49" t="s">
        <v>2362</v>
      </c>
      <c r="AA896" s="50" t="s">
        <v>2359</v>
      </c>
      <c r="AB896" s="51">
        <v>1.4</v>
      </c>
    </row>
    <row r="897" spans="1:28" ht="13.5" customHeight="1">
      <c r="A897" s="27"/>
      <c r="B897" s="36"/>
      <c r="C897" s="44"/>
      <c r="D897" s="6"/>
      <c r="E897" s="46"/>
      <c r="F897" s="113"/>
      <c r="G897" s="48"/>
      <c r="H897" s="46"/>
      <c r="I897" s="113"/>
      <c r="J897" s="48"/>
      <c r="K897" s="46"/>
      <c r="L897" s="113"/>
      <c r="M897" s="48"/>
      <c r="N897" s="46"/>
      <c r="O897" s="113"/>
      <c r="P897" s="48"/>
      <c r="Q897" s="46"/>
      <c r="R897" s="113"/>
      <c r="S897" s="48"/>
      <c r="T897" s="46"/>
      <c r="U897" s="113"/>
      <c r="V897" s="48"/>
      <c r="W897" s="46"/>
      <c r="X897" s="113"/>
      <c r="Y897" s="48"/>
      <c r="Z897" s="49"/>
      <c r="AA897" s="50"/>
      <c r="AB897" s="51"/>
    </row>
    <row r="898" spans="1:28" ht="13.5" customHeight="1">
      <c r="A898" s="27"/>
      <c r="B898" s="44"/>
      <c r="C898" s="44"/>
      <c r="D898" s="6"/>
      <c r="E898" s="46"/>
      <c r="F898" s="113"/>
      <c r="G898" s="48"/>
      <c r="H898" s="46"/>
      <c r="I898" s="113"/>
      <c r="J898" s="48"/>
      <c r="K898" s="46"/>
      <c r="L898" s="113"/>
      <c r="M898" s="48"/>
      <c r="N898" s="46"/>
      <c r="O898" s="113"/>
      <c r="P898" s="48"/>
      <c r="Q898" s="46"/>
      <c r="R898" s="113"/>
      <c r="S898" s="48"/>
      <c r="T898" s="46"/>
      <c r="U898" s="113"/>
      <c r="V898" s="48"/>
      <c r="W898" s="46"/>
      <c r="X898" s="113"/>
      <c r="Y898" s="48"/>
      <c r="Z898" s="49"/>
      <c r="AA898" s="50"/>
      <c r="AB898" s="51"/>
    </row>
    <row r="899" spans="1:28" ht="13.5" customHeight="1">
      <c r="A899" s="27"/>
      <c r="B899" s="44"/>
      <c r="C899" s="44"/>
      <c r="D899" s="6"/>
      <c r="E899" s="46" t="s">
        <v>2360</v>
      </c>
      <c r="F899" s="47" t="s">
        <v>2363</v>
      </c>
      <c r="G899" s="48">
        <v>0.1</v>
      </c>
      <c r="H899" s="46" t="s">
        <v>2360</v>
      </c>
      <c r="I899" s="47" t="s">
        <v>2363</v>
      </c>
      <c r="J899" s="48">
        <v>0.2</v>
      </c>
      <c r="K899" s="46" t="s">
        <v>2360</v>
      </c>
      <c r="L899" s="47" t="s">
        <v>2363</v>
      </c>
      <c r="M899" s="48">
        <v>0.2</v>
      </c>
      <c r="N899" s="46" t="s">
        <v>2360</v>
      </c>
      <c r="O899" s="47" t="s">
        <v>2363</v>
      </c>
      <c r="P899" s="48">
        <v>0.4</v>
      </c>
      <c r="Q899" s="55" t="s">
        <v>2364</v>
      </c>
      <c r="R899" s="47" t="s">
        <v>2363</v>
      </c>
      <c r="S899" s="48">
        <v>0.4</v>
      </c>
      <c r="T899" s="55" t="s">
        <v>2364</v>
      </c>
      <c r="U899" s="47" t="s">
        <v>2363</v>
      </c>
      <c r="V899" s="48">
        <v>0.5</v>
      </c>
      <c r="W899" s="55" t="s">
        <v>2365</v>
      </c>
      <c r="X899" s="47" t="s">
        <v>2960</v>
      </c>
      <c r="Y899" s="48">
        <v>0.5</v>
      </c>
      <c r="Z899" s="49" t="s">
        <v>2366</v>
      </c>
      <c r="AA899" s="50" t="s">
        <v>2363</v>
      </c>
      <c r="AB899" s="51">
        <v>0.3</v>
      </c>
    </row>
    <row r="900" spans="1:28" ht="13.5" customHeight="1">
      <c r="A900" s="104"/>
      <c r="B900" s="105"/>
      <c r="C900" s="44"/>
      <c r="D900" s="6"/>
      <c r="E900" s="46" t="s">
        <v>2364</v>
      </c>
      <c r="F900" s="47" t="s">
        <v>2367</v>
      </c>
      <c r="G900" s="48">
        <v>0.4</v>
      </c>
      <c r="H900" s="46" t="s">
        <v>2364</v>
      </c>
      <c r="I900" s="47" t="s">
        <v>2367</v>
      </c>
      <c r="J900" s="48">
        <v>0.4</v>
      </c>
      <c r="K900" s="46" t="s">
        <v>2364</v>
      </c>
      <c r="L900" s="47" t="s">
        <v>2367</v>
      </c>
      <c r="M900" s="48">
        <v>0.5</v>
      </c>
      <c r="N900" s="46" t="s">
        <v>2364</v>
      </c>
      <c r="O900" s="47" t="s">
        <v>2367</v>
      </c>
      <c r="P900" s="48">
        <v>0.4</v>
      </c>
      <c r="Q900" s="46" t="s">
        <v>2368</v>
      </c>
      <c r="R900" s="47" t="s">
        <v>2367</v>
      </c>
      <c r="S900" s="48">
        <v>0.4</v>
      </c>
      <c r="T900" s="46" t="s">
        <v>2368</v>
      </c>
      <c r="U900" s="47" t="s">
        <v>2367</v>
      </c>
      <c r="V900" s="48">
        <v>0.5</v>
      </c>
      <c r="W900" s="46" t="s">
        <v>2194</v>
      </c>
      <c r="X900" s="47" t="s">
        <v>2961</v>
      </c>
      <c r="Y900" s="48">
        <v>1.1000000000000001</v>
      </c>
      <c r="Z900" s="49" t="s">
        <v>2369</v>
      </c>
      <c r="AA900" s="50" t="s">
        <v>2370</v>
      </c>
      <c r="AB900" s="51">
        <v>0.4</v>
      </c>
    </row>
    <row r="901" spans="1:28" ht="13.5" customHeight="1">
      <c r="A901" s="27"/>
      <c r="B901" s="44"/>
      <c r="C901" s="44"/>
      <c r="D901" s="6"/>
      <c r="E901" s="46" t="s">
        <v>2368</v>
      </c>
      <c r="F901" s="113" t="s">
        <v>2962</v>
      </c>
      <c r="G901" s="48">
        <v>2.6</v>
      </c>
      <c r="H901" s="46" t="s">
        <v>2368</v>
      </c>
      <c r="I901" s="113" t="s">
        <v>2962</v>
      </c>
      <c r="J901" s="48">
        <v>3.3</v>
      </c>
      <c r="K901" s="46" t="s">
        <v>2368</v>
      </c>
      <c r="L901" s="113" t="s">
        <v>2962</v>
      </c>
      <c r="M901" s="48">
        <v>2.7</v>
      </c>
      <c r="N901" s="46" t="s">
        <v>2368</v>
      </c>
      <c r="O901" s="113" t="s">
        <v>2962</v>
      </c>
      <c r="P901" s="48">
        <v>2.7</v>
      </c>
      <c r="Q901" s="46" t="s">
        <v>2371</v>
      </c>
      <c r="R901" s="113" t="s">
        <v>2372</v>
      </c>
      <c r="S901" s="48">
        <v>1.1000000000000001</v>
      </c>
      <c r="T901" s="46" t="s">
        <v>2371</v>
      </c>
      <c r="U901" s="113" t="s">
        <v>2372</v>
      </c>
      <c r="V901" s="48">
        <v>1</v>
      </c>
      <c r="W901" s="46" t="s">
        <v>2963</v>
      </c>
      <c r="X901" s="113" t="s">
        <v>2964</v>
      </c>
      <c r="Y901" s="48">
        <v>1.2</v>
      </c>
      <c r="Z901" s="49"/>
      <c r="AA901" s="50"/>
      <c r="AB901" s="51"/>
    </row>
    <row r="902" spans="1:28" ht="13.5" customHeight="1">
      <c r="A902" s="221"/>
      <c r="B902" s="172"/>
      <c r="C902" s="172"/>
      <c r="D902" s="222"/>
      <c r="E902" s="46"/>
      <c r="F902" s="242"/>
      <c r="G902" s="48"/>
      <c r="H902" s="46"/>
      <c r="I902" s="242"/>
      <c r="J902" s="48"/>
      <c r="K902" s="46"/>
      <c r="L902" s="242"/>
      <c r="M902" s="48"/>
      <c r="N902" s="46"/>
      <c r="O902" s="242"/>
      <c r="P902" s="48"/>
      <c r="Q902" s="243" t="s">
        <v>2373</v>
      </c>
      <c r="R902" s="242" t="s">
        <v>2374</v>
      </c>
      <c r="S902" s="157">
        <v>0.1</v>
      </c>
      <c r="T902" s="243" t="s">
        <v>2373</v>
      </c>
      <c r="U902" s="242" t="s">
        <v>2374</v>
      </c>
      <c r="V902" s="157">
        <v>0.2</v>
      </c>
      <c r="W902" s="156"/>
      <c r="X902" s="244"/>
      <c r="Y902" s="157"/>
      <c r="Z902" s="158"/>
      <c r="AA902" s="159"/>
      <c r="AB902" s="160"/>
    </row>
    <row r="903" spans="1:28" ht="13.5" customHeight="1">
      <c r="A903" s="27"/>
      <c r="B903" s="36"/>
      <c r="C903" s="44"/>
      <c r="D903" s="6"/>
      <c r="E903" s="46" t="s">
        <v>2376</v>
      </c>
      <c r="F903" s="223" t="s">
        <v>2375</v>
      </c>
      <c r="G903" s="48">
        <v>0.9</v>
      </c>
      <c r="H903" s="46" t="s">
        <v>2376</v>
      </c>
      <c r="I903" s="223" t="s">
        <v>2375</v>
      </c>
      <c r="J903" s="48">
        <v>1</v>
      </c>
      <c r="K903" s="46" t="s">
        <v>2376</v>
      </c>
      <c r="L903" s="223" t="s">
        <v>2375</v>
      </c>
      <c r="M903" s="48">
        <v>0.9</v>
      </c>
      <c r="N903" s="46" t="s">
        <v>2376</v>
      </c>
      <c r="O903" s="223" t="s">
        <v>2375</v>
      </c>
      <c r="P903" s="48">
        <v>0.6</v>
      </c>
      <c r="Q903" s="109" t="s">
        <v>2376</v>
      </c>
      <c r="R903" s="223" t="s">
        <v>2375</v>
      </c>
      <c r="S903" s="70">
        <v>0.9</v>
      </c>
      <c r="T903" s="109" t="s">
        <v>2376</v>
      </c>
      <c r="U903" s="223" t="s">
        <v>2375</v>
      </c>
      <c r="V903" s="70">
        <v>0.4</v>
      </c>
      <c r="W903" s="109"/>
      <c r="X903" s="223"/>
      <c r="Y903" s="70"/>
      <c r="Z903" s="110"/>
      <c r="AA903" s="111"/>
      <c r="AB903" s="112"/>
    </row>
    <row r="904" spans="1:28" ht="13.5" customHeight="1">
      <c r="A904" s="27"/>
      <c r="B904" s="44"/>
      <c r="C904" s="44"/>
      <c r="D904" s="6"/>
      <c r="E904" s="46"/>
      <c r="F904" s="113"/>
      <c r="G904" s="48"/>
      <c r="H904" s="46"/>
      <c r="I904" s="113"/>
      <c r="J904" s="48"/>
      <c r="K904" s="46"/>
      <c r="L904" s="113"/>
      <c r="M904" s="48"/>
      <c r="N904" s="46"/>
      <c r="O904" s="113"/>
      <c r="P904" s="48"/>
      <c r="Q904" s="46"/>
      <c r="R904" s="113"/>
      <c r="S904" s="48"/>
      <c r="T904" s="46"/>
      <c r="U904" s="113"/>
      <c r="V904" s="48"/>
      <c r="W904" s="46"/>
      <c r="X904" s="113"/>
      <c r="Y904" s="48"/>
      <c r="Z904" s="49"/>
      <c r="AA904" s="50"/>
      <c r="AB904" s="51"/>
    </row>
    <row r="905" spans="1:28" ht="13.5" customHeight="1" thickBot="1">
      <c r="A905" s="224"/>
      <c r="B905" s="225"/>
      <c r="C905" s="225"/>
      <c r="D905" s="226"/>
      <c r="E905" s="230" t="s">
        <v>2354</v>
      </c>
      <c r="F905" s="227" t="s">
        <v>2377</v>
      </c>
      <c r="G905" s="229">
        <v>0.8</v>
      </c>
      <c r="H905" s="230" t="s">
        <v>2354</v>
      </c>
      <c r="I905" s="227" t="s">
        <v>2377</v>
      </c>
      <c r="J905" s="229">
        <v>1.7</v>
      </c>
      <c r="K905" s="230" t="s">
        <v>2354</v>
      </c>
      <c r="L905" s="227" t="s">
        <v>2377</v>
      </c>
      <c r="M905" s="229">
        <v>1.7</v>
      </c>
      <c r="N905" s="230" t="s">
        <v>2354</v>
      </c>
      <c r="O905" s="227" t="s">
        <v>2377</v>
      </c>
      <c r="P905" s="229">
        <v>1.2</v>
      </c>
      <c r="Q905" s="228" t="s">
        <v>2378</v>
      </c>
      <c r="R905" s="227" t="s">
        <v>2377</v>
      </c>
      <c r="S905" s="229">
        <v>0.9</v>
      </c>
      <c r="T905" s="228" t="s">
        <v>2378</v>
      </c>
      <c r="U905" s="227" t="s">
        <v>2377</v>
      </c>
      <c r="V905" s="229">
        <v>0.7</v>
      </c>
      <c r="W905" s="230"/>
      <c r="X905" s="231"/>
      <c r="Y905" s="229"/>
      <c r="Z905" s="232"/>
      <c r="AA905" s="233"/>
      <c r="AB905" s="234"/>
    </row>
    <row r="906" spans="1:28">
      <c r="A906" s="5"/>
      <c r="B906" s="5"/>
      <c r="C906" s="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35"/>
    </row>
    <row r="907" spans="1:28">
      <c r="A907" s="5"/>
      <c r="B907" s="5"/>
      <c r="C907" s="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35"/>
    </row>
    <row r="908" spans="1:28">
      <c r="A908" s="5"/>
      <c r="B908" s="5"/>
      <c r="C908" s="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35"/>
    </row>
    <row r="909" spans="1:28">
      <c r="A909" s="5"/>
      <c r="B909" s="5"/>
      <c r="C909" s="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35"/>
    </row>
    <row r="910" spans="1:28">
      <c r="A910" s="5"/>
      <c r="B910" s="5"/>
      <c r="C910" s="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35"/>
    </row>
    <row r="911" spans="1:28">
      <c r="A911" s="5"/>
      <c r="B911" s="5"/>
      <c r="C911" s="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35"/>
    </row>
    <row r="912" spans="1:28">
      <c r="A912" s="5"/>
      <c r="B912" s="5"/>
      <c r="C912" s="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35"/>
    </row>
    <row r="913" spans="1:22">
      <c r="A913" s="5"/>
      <c r="B913" s="5"/>
      <c r="C913" s="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35"/>
    </row>
    <row r="914" spans="1:22">
      <c r="A914" s="5"/>
      <c r="B914" s="5"/>
      <c r="C914" s="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35"/>
    </row>
    <row r="915" spans="1:22">
      <c r="A915" s="5"/>
      <c r="B915" s="5"/>
      <c r="C915" s="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35"/>
    </row>
    <row r="916" spans="1:22">
      <c r="A916" s="5"/>
      <c r="B916" s="5"/>
      <c r="C916" s="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35"/>
    </row>
    <row r="917" spans="1:22">
      <c r="A917" s="5"/>
      <c r="B917" s="5"/>
      <c r="C917" s="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35"/>
    </row>
    <row r="918" spans="1:22">
      <c r="A918" s="5"/>
      <c r="B918" s="5"/>
      <c r="C918" s="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35"/>
    </row>
    <row r="919" spans="1:22">
      <c r="A919" s="5"/>
      <c r="B919" s="5"/>
      <c r="C919" s="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35"/>
    </row>
    <row r="920" spans="1:22">
      <c r="A920" s="5"/>
      <c r="B920" s="5"/>
      <c r="C920" s="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35"/>
    </row>
    <row r="921" spans="1:22">
      <c r="A921" s="5"/>
      <c r="B921" s="5"/>
      <c r="C921" s="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35"/>
    </row>
    <row r="922" spans="1:22">
      <c r="A922" s="5"/>
      <c r="B922" s="5"/>
      <c r="C922" s="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35"/>
    </row>
    <row r="923" spans="1:22">
      <c r="A923" s="5"/>
      <c r="B923" s="5"/>
      <c r="C923" s="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35"/>
    </row>
    <row r="924" spans="1:22">
      <c r="A924" s="5"/>
      <c r="B924" s="5"/>
      <c r="C924" s="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35"/>
    </row>
    <row r="925" spans="1:22">
      <c r="A925" s="5"/>
      <c r="B925" s="5"/>
      <c r="C925" s="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35"/>
    </row>
    <row r="926" spans="1:22">
      <c r="A926" s="5"/>
      <c r="B926" s="5"/>
      <c r="C926" s="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35"/>
    </row>
    <row r="927" spans="1:22">
      <c r="A927" s="5"/>
      <c r="B927" s="5"/>
      <c r="C927" s="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35"/>
    </row>
    <row r="928" spans="1:22">
      <c r="A928" s="5"/>
      <c r="B928" s="5"/>
      <c r="C928" s="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35"/>
    </row>
    <row r="929" spans="1:22">
      <c r="A929" s="5"/>
      <c r="B929" s="5"/>
      <c r="C929" s="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35"/>
    </row>
    <row r="930" spans="1:22">
      <c r="A930" s="5"/>
      <c r="B930" s="5"/>
      <c r="C930" s="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35"/>
    </row>
    <row r="931" spans="1:22">
      <c r="A931" s="5"/>
      <c r="B931" s="5"/>
      <c r="C931" s="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35"/>
    </row>
    <row r="932" spans="1:22">
      <c r="A932" s="5"/>
      <c r="B932" s="5"/>
      <c r="C932" s="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35"/>
    </row>
    <row r="933" spans="1:22">
      <c r="A933" s="5"/>
      <c r="B933" s="5"/>
      <c r="C933" s="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35"/>
    </row>
    <row r="934" spans="1:22">
      <c r="A934" s="5"/>
      <c r="B934" s="5"/>
      <c r="C934" s="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35"/>
    </row>
    <row r="935" spans="1:22">
      <c r="A935" s="5"/>
      <c r="B935" s="5"/>
      <c r="C935" s="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35"/>
    </row>
    <row r="936" spans="1:22">
      <c r="A936" s="5"/>
      <c r="B936" s="5"/>
      <c r="C936" s="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35"/>
    </row>
    <row r="937" spans="1:22">
      <c r="A937" s="5"/>
      <c r="B937" s="5"/>
      <c r="C937" s="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35"/>
    </row>
    <row r="938" spans="1:22">
      <c r="A938" s="5"/>
      <c r="B938" s="5"/>
      <c r="C938" s="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35"/>
    </row>
    <row r="939" spans="1:22">
      <c r="A939" s="5"/>
      <c r="B939" s="5"/>
      <c r="C939" s="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35"/>
    </row>
    <row r="940" spans="1:22">
      <c r="A940" s="5"/>
      <c r="B940" s="5"/>
      <c r="C940" s="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35"/>
    </row>
    <row r="941" spans="1:22">
      <c r="A941" s="5"/>
      <c r="B941" s="5"/>
      <c r="C941" s="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35"/>
    </row>
    <row r="942" spans="1:22">
      <c r="A942" s="5"/>
      <c r="B942" s="5"/>
      <c r="C942" s="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35"/>
    </row>
    <row r="943" spans="1:22">
      <c r="A943" s="5"/>
      <c r="B943" s="5"/>
      <c r="C943" s="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35"/>
    </row>
    <row r="944" spans="1:22">
      <c r="A944" s="5"/>
      <c r="B944" s="5"/>
      <c r="C944" s="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35"/>
    </row>
    <row r="945" spans="1:22">
      <c r="A945" s="5"/>
      <c r="B945" s="5"/>
      <c r="C945" s="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35"/>
    </row>
    <row r="946" spans="1:22">
      <c r="A946" s="5"/>
      <c r="B946" s="5"/>
      <c r="C946" s="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35"/>
    </row>
    <row r="947" spans="1:22">
      <c r="A947" s="5"/>
      <c r="B947" s="5"/>
      <c r="C947" s="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35"/>
    </row>
    <row r="948" spans="1:22">
      <c r="A948" s="5"/>
      <c r="B948" s="5"/>
      <c r="C948" s="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35"/>
    </row>
    <row r="949" spans="1:22">
      <c r="A949" s="5"/>
      <c r="B949" s="5"/>
      <c r="C949" s="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35"/>
    </row>
    <row r="950" spans="1:22">
      <c r="A950" s="5"/>
      <c r="B950" s="5"/>
      <c r="C950" s="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35"/>
    </row>
    <row r="951" spans="1:22">
      <c r="A951" s="5"/>
      <c r="B951" s="5"/>
      <c r="C951" s="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35"/>
    </row>
    <row r="952" spans="1:22">
      <c r="A952" s="5"/>
      <c r="B952" s="5"/>
      <c r="C952" s="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35"/>
    </row>
    <row r="953" spans="1:22">
      <c r="A953" s="5"/>
      <c r="B953" s="5"/>
      <c r="C953" s="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35"/>
    </row>
    <row r="954" spans="1:22">
      <c r="A954" s="5"/>
      <c r="B954" s="5"/>
      <c r="C954" s="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35"/>
    </row>
    <row r="955" spans="1:22">
      <c r="A955" s="5"/>
      <c r="B955" s="5"/>
      <c r="C955" s="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35"/>
    </row>
    <row r="956" spans="1:22">
      <c r="A956" s="5"/>
      <c r="B956" s="5"/>
      <c r="C956" s="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35"/>
    </row>
    <row r="957" spans="1:22">
      <c r="A957" s="5"/>
      <c r="B957" s="5"/>
      <c r="C957" s="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35"/>
    </row>
    <row r="958" spans="1:22">
      <c r="A958" s="5"/>
      <c r="B958" s="5"/>
      <c r="C958" s="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35"/>
    </row>
    <row r="959" spans="1:22">
      <c r="A959" s="5"/>
      <c r="B959" s="5"/>
      <c r="C959" s="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35"/>
    </row>
    <row r="960" spans="1:22">
      <c r="A960" s="5"/>
      <c r="B960" s="5"/>
      <c r="C960" s="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35"/>
    </row>
    <row r="961" spans="1:22">
      <c r="A961" s="5"/>
      <c r="B961" s="5"/>
      <c r="C961" s="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35"/>
    </row>
    <row r="962" spans="1:22">
      <c r="A962" s="5"/>
      <c r="B962" s="5"/>
      <c r="C962" s="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35"/>
    </row>
    <row r="963" spans="1:22">
      <c r="A963" s="5"/>
      <c r="B963" s="5"/>
      <c r="C963" s="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35"/>
    </row>
    <row r="964" spans="1:22">
      <c r="A964" s="5"/>
      <c r="B964" s="5"/>
      <c r="C964" s="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35"/>
    </row>
    <row r="965" spans="1:22">
      <c r="A965" s="5"/>
      <c r="B965" s="5"/>
      <c r="C965" s="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35"/>
    </row>
    <row r="966" spans="1:22">
      <c r="A966" s="5"/>
      <c r="B966" s="5"/>
      <c r="C966" s="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35"/>
    </row>
    <row r="967" spans="1:22">
      <c r="A967" s="5"/>
      <c r="B967" s="5"/>
      <c r="C967" s="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35"/>
    </row>
    <row r="968" spans="1:22">
      <c r="A968" s="5"/>
      <c r="B968" s="5"/>
      <c r="C968" s="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35"/>
    </row>
    <row r="969" spans="1:22">
      <c r="A969" s="5"/>
      <c r="B969" s="5"/>
      <c r="C969" s="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35"/>
    </row>
    <row r="970" spans="1:22">
      <c r="A970" s="5"/>
      <c r="B970" s="5"/>
      <c r="C970" s="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35"/>
    </row>
    <row r="971" spans="1:22">
      <c r="A971" s="5"/>
      <c r="B971" s="5"/>
      <c r="C971" s="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35"/>
    </row>
    <row r="972" spans="1:22">
      <c r="A972" s="5"/>
      <c r="B972" s="5"/>
      <c r="C972" s="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35"/>
    </row>
    <row r="973" spans="1:22">
      <c r="A973" s="5"/>
      <c r="B973" s="5"/>
      <c r="C973" s="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35"/>
    </row>
    <row r="974" spans="1:22">
      <c r="A974" s="5"/>
      <c r="B974" s="5"/>
      <c r="C974" s="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35"/>
    </row>
    <row r="975" spans="1:22">
      <c r="A975" s="5"/>
      <c r="B975" s="5"/>
      <c r="C975" s="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35"/>
    </row>
    <row r="976" spans="1:22">
      <c r="A976" s="5"/>
      <c r="B976" s="5"/>
      <c r="C976" s="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35"/>
    </row>
    <row r="977" spans="1:22">
      <c r="A977" s="5"/>
      <c r="B977" s="5"/>
      <c r="C977" s="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35"/>
    </row>
    <row r="978" spans="1:22">
      <c r="A978" s="5"/>
      <c r="B978" s="5"/>
      <c r="C978" s="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35"/>
    </row>
    <row r="979" spans="1:22">
      <c r="A979" s="5"/>
      <c r="B979" s="5"/>
      <c r="C979" s="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35"/>
    </row>
    <row r="980" spans="1:22">
      <c r="A980" s="5"/>
      <c r="B980" s="5"/>
      <c r="C980" s="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35"/>
    </row>
    <row r="981" spans="1:22">
      <c r="A981" s="5"/>
      <c r="B981" s="5"/>
      <c r="C981" s="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35"/>
    </row>
    <row r="982" spans="1:22">
      <c r="A982" s="5"/>
      <c r="B982" s="5"/>
      <c r="C982" s="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35"/>
    </row>
    <row r="983" spans="1:22">
      <c r="A983" s="5"/>
      <c r="B983" s="5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spans="1:22">
      <c r="A984" s="5"/>
      <c r="B984" s="5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spans="1:22">
      <c r="A985" s="5"/>
      <c r="B985" s="5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spans="1:22">
      <c r="A986" s="5"/>
      <c r="B986" s="5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spans="1:22">
      <c r="A987" s="5"/>
      <c r="B987" s="5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spans="1:22">
      <c r="A988" s="5"/>
      <c r="B988" s="5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spans="1:22">
      <c r="A989" s="5"/>
      <c r="B989" s="5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spans="1:22">
      <c r="A990" s="5"/>
      <c r="B990" s="5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spans="1:22">
      <c r="A991" s="5"/>
      <c r="B991" s="5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spans="1:22">
      <c r="A992" s="5"/>
      <c r="B992" s="5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spans="1:22">
      <c r="A993" s="5"/>
      <c r="B993" s="5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spans="1:22">
      <c r="A994" s="5"/>
      <c r="B994" s="5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spans="1:22">
      <c r="A995" s="5"/>
      <c r="B995" s="5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spans="1:22">
      <c r="A996" s="5"/>
      <c r="B996" s="5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spans="1:22">
      <c r="A997" s="5"/>
      <c r="B997" s="5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spans="1:22">
      <c r="A998" s="5"/>
      <c r="B998" s="5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spans="1:22">
      <c r="A999" s="5"/>
      <c r="B999" s="5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 spans="1:22">
      <c r="A1000" s="5"/>
      <c r="B1000" s="5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  <row r="1001" spans="1:22">
      <c r="A1001" s="5"/>
      <c r="B1001" s="5"/>
      <c r="C1001" s="5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</row>
    <row r="1002" spans="1:22">
      <c r="A1002" s="5"/>
      <c r="B1002" s="5"/>
      <c r="C1002" s="5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</row>
    <row r="1003" spans="1:22">
      <c r="A1003" s="5"/>
      <c r="B1003" s="5"/>
      <c r="C1003" s="5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</row>
    <row r="1004" spans="1:22">
      <c r="A1004" s="5"/>
      <c r="B1004" s="5"/>
      <c r="C1004" s="5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</row>
    <row r="1005" spans="1:22">
      <c r="A1005" s="5"/>
      <c r="B1005" s="5"/>
      <c r="C1005" s="5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</row>
    <row r="1006" spans="1:22">
      <c r="A1006" s="5"/>
      <c r="B1006" s="5"/>
      <c r="C1006" s="5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</row>
    <row r="1007" spans="1:22">
      <c r="A1007" s="5"/>
      <c r="B1007" s="5"/>
      <c r="C1007" s="5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</row>
    <row r="1008" spans="1:22">
      <c r="A1008" s="5"/>
      <c r="B1008" s="5"/>
      <c r="C1008" s="5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</row>
    <row r="1009" spans="1:22">
      <c r="A1009" s="5"/>
      <c r="B1009" s="5"/>
      <c r="C1009" s="5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</row>
    <row r="1010" spans="1:22">
      <c r="A1010" s="5"/>
      <c r="B1010" s="5"/>
      <c r="C1010" s="5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</row>
    <row r="1011" spans="1:22">
      <c r="A1011" s="5"/>
      <c r="B1011" s="5"/>
      <c r="C1011" s="5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</row>
    <row r="1012" spans="1:22">
      <c r="A1012" s="5"/>
      <c r="B1012" s="5"/>
      <c r="C1012" s="5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spans="1:22">
      <c r="A1013" s="5"/>
      <c r="B1013" s="5"/>
      <c r="C1013" s="5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</row>
    <row r="1014" spans="1:22">
      <c r="A1014" s="5"/>
      <c r="B1014" s="5"/>
      <c r="C1014" s="5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</row>
    <row r="1015" spans="1:22">
      <c r="A1015" s="5"/>
      <c r="B1015" s="5"/>
      <c r="C1015" s="5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</row>
    <row r="1016" spans="1:22">
      <c r="A1016" s="5"/>
      <c r="B1016" s="5"/>
      <c r="C1016" s="5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</row>
    <row r="1017" spans="1:22">
      <c r="A1017" s="5"/>
      <c r="B1017" s="5"/>
      <c r="C1017" s="5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</row>
    <row r="1018" spans="1:22">
      <c r="A1018" s="5"/>
      <c r="B1018" s="5"/>
      <c r="C1018" s="5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</row>
    <row r="1019" spans="1:22">
      <c r="A1019" s="5"/>
      <c r="B1019" s="5"/>
      <c r="C1019" s="5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</row>
    <row r="1020" spans="1:22">
      <c r="A1020" s="5"/>
      <c r="B1020" s="5"/>
      <c r="C1020" s="5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</row>
    <row r="1021" spans="1:22">
      <c r="A1021" s="5"/>
      <c r="B1021" s="5"/>
      <c r="C1021" s="5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</row>
    <row r="1022" spans="1:22">
      <c r="A1022" s="5"/>
      <c r="B1022" s="5"/>
      <c r="C1022" s="5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</row>
    <row r="1023" spans="1:22">
      <c r="A1023" s="5"/>
      <c r="B1023" s="5"/>
      <c r="C1023" s="5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</row>
    <row r="1024" spans="1:22">
      <c r="A1024" s="5"/>
      <c r="B1024" s="5"/>
      <c r="C1024" s="5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</row>
    <row r="1025" spans="1:22">
      <c r="A1025" s="5"/>
      <c r="B1025" s="5"/>
      <c r="C1025" s="5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</row>
    <row r="1026" spans="1:22">
      <c r="A1026" s="5"/>
      <c r="B1026" s="5"/>
      <c r="C1026" s="5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spans="1:22">
      <c r="A1027" s="5"/>
      <c r="B1027" s="5"/>
      <c r="C1027" s="5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</row>
    <row r="1028" spans="1:22">
      <c r="A1028" s="5"/>
      <c r="B1028" s="5"/>
      <c r="C1028" s="5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</row>
    <row r="1029" spans="1:22">
      <c r="A1029" s="5"/>
      <c r="B1029" s="5"/>
      <c r="C1029" s="5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</row>
    <row r="1030" spans="1:22">
      <c r="A1030" s="5"/>
      <c r="B1030" s="5"/>
      <c r="C1030" s="5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</row>
    <row r="1031" spans="1:22">
      <c r="A1031" s="5"/>
      <c r="B1031" s="5"/>
      <c r="C1031" s="5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</row>
    <row r="1032" spans="1:22">
      <c r="A1032" s="5"/>
      <c r="B1032" s="5"/>
      <c r="C1032" s="5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</row>
    <row r="1033" spans="1:22">
      <c r="A1033" s="5"/>
      <c r="B1033" s="5"/>
      <c r="C1033" s="5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</row>
    <row r="1034" spans="1:22">
      <c r="A1034" s="5"/>
      <c r="B1034" s="5"/>
      <c r="C1034" s="5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</row>
    <row r="1035" spans="1:22">
      <c r="A1035" s="5"/>
      <c r="B1035" s="5"/>
      <c r="C1035" s="5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</row>
    <row r="1036" spans="1:22">
      <c r="A1036" s="5"/>
      <c r="B1036" s="5"/>
      <c r="C1036" s="5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</row>
    <row r="1037" spans="1:22">
      <c r="A1037" s="5"/>
      <c r="B1037" s="5"/>
      <c r="C1037" s="5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</row>
    <row r="1038" spans="1:22">
      <c r="A1038" s="5"/>
      <c r="B1038" s="5"/>
      <c r="C1038" s="5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</row>
    <row r="1039" spans="1:22">
      <c r="A1039" s="5"/>
      <c r="B1039" s="5"/>
      <c r="C1039" s="5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</row>
    <row r="1040" spans="1:22">
      <c r="A1040" s="5"/>
      <c r="B1040" s="5"/>
      <c r="C1040" s="5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spans="1:22">
      <c r="A1041" s="5"/>
      <c r="B1041" s="5"/>
      <c r="C1041" s="5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</row>
    <row r="1042" spans="1:22">
      <c r="A1042" s="5"/>
      <c r="B1042" s="5"/>
      <c r="C1042" s="5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</row>
    <row r="1043" spans="1:22">
      <c r="A1043" s="5"/>
      <c r="B1043" s="5"/>
      <c r="C1043" s="5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</row>
    <row r="1044" spans="1:22">
      <c r="A1044" s="5"/>
      <c r="B1044" s="5"/>
      <c r="C1044" s="5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</row>
    <row r="1045" spans="1:22">
      <c r="A1045" s="5"/>
      <c r="B1045" s="5"/>
      <c r="C1045" s="5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</row>
    <row r="1046" spans="1:22">
      <c r="A1046" s="5"/>
      <c r="B1046" s="5"/>
      <c r="C1046" s="5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</row>
    <row r="1047" spans="1:22">
      <c r="A1047" s="5"/>
      <c r="B1047" s="5"/>
      <c r="C1047" s="5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</row>
    <row r="1048" spans="1:22">
      <c r="A1048" s="5"/>
      <c r="B1048" s="5"/>
      <c r="C1048" s="5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</row>
    <row r="1049" spans="1:22">
      <c r="A1049" s="5"/>
      <c r="B1049" s="5"/>
      <c r="C1049" s="5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</row>
    <row r="1050" spans="1:22">
      <c r="A1050" s="5"/>
      <c r="B1050" s="5"/>
      <c r="C1050" s="5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</row>
    <row r="1051" spans="1:22">
      <c r="A1051" s="5"/>
      <c r="B1051" s="5"/>
      <c r="C1051" s="5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</row>
    <row r="1052" spans="1:22">
      <c r="A1052" s="5"/>
      <c r="B1052" s="5"/>
      <c r="C1052" s="5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</row>
    <row r="1053" spans="1:22">
      <c r="A1053" s="5"/>
      <c r="B1053" s="5"/>
      <c r="C1053" s="5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</row>
    <row r="1054" spans="1:22">
      <c r="A1054" s="5"/>
      <c r="B1054" s="5"/>
      <c r="C1054" s="5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spans="1:22">
      <c r="A1055" s="5"/>
      <c r="B1055" s="5"/>
      <c r="C1055" s="5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</row>
    <row r="1056" spans="1:22">
      <c r="A1056" s="5"/>
      <c r="B1056" s="5"/>
      <c r="C1056" s="5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</row>
    <row r="1057" spans="1:22">
      <c r="A1057" s="5"/>
      <c r="B1057" s="5"/>
      <c r="C1057" s="5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</row>
    <row r="1058" spans="1:22">
      <c r="A1058" s="5"/>
      <c r="B1058" s="5"/>
      <c r="C1058" s="5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</row>
    <row r="1059" spans="1:22">
      <c r="A1059" s="5"/>
      <c r="B1059" s="5"/>
      <c r="C1059" s="5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</row>
    <row r="1060" spans="1:22">
      <c r="A1060" s="5"/>
      <c r="B1060" s="5"/>
      <c r="C1060" s="5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</row>
    <row r="1061" spans="1:22">
      <c r="A1061" s="5"/>
      <c r="B1061" s="5"/>
      <c r="C1061" s="5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</row>
    <row r="1062" spans="1:22">
      <c r="A1062" s="5"/>
      <c r="B1062" s="5"/>
      <c r="C1062" s="5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</row>
    <row r="1063" spans="1:22">
      <c r="A1063" s="5"/>
      <c r="B1063" s="5"/>
      <c r="C1063" s="5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</row>
    <row r="1064" spans="1:22">
      <c r="A1064" s="5"/>
      <c r="B1064" s="5"/>
      <c r="C1064" s="5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</row>
    <row r="1065" spans="1:22">
      <c r="A1065" s="5"/>
      <c r="B1065" s="5"/>
      <c r="C1065" s="5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</row>
    <row r="1066" spans="1:22">
      <c r="A1066" s="5"/>
      <c r="B1066" s="5"/>
      <c r="C1066" s="5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</row>
    <row r="1067" spans="1:22">
      <c r="A1067" s="5"/>
      <c r="B1067" s="5"/>
      <c r="C1067" s="5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</row>
    <row r="1068" spans="1:22">
      <c r="A1068" s="5"/>
      <c r="B1068" s="5"/>
      <c r="C1068" s="5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spans="1:22">
      <c r="A1069" s="5"/>
      <c r="B1069" s="5"/>
      <c r="C1069" s="5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</row>
    <row r="1070" spans="1:22">
      <c r="A1070" s="5"/>
      <c r="B1070" s="5"/>
      <c r="C1070" s="5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</row>
    <row r="1071" spans="1:22">
      <c r="A1071" s="5"/>
      <c r="B1071" s="5"/>
      <c r="C1071" s="5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</row>
    <row r="1072" spans="1:22">
      <c r="A1072" s="5"/>
      <c r="B1072" s="5"/>
      <c r="C1072" s="5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</row>
    <row r="1073" spans="1:22">
      <c r="A1073" s="5"/>
      <c r="B1073" s="5"/>
      <c r="C1073" s="5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</row>
    <row r="1074" spans="1:22">
      <c r="A1074" s="5"/>
      <c r="B1074" s="5"/>
      <c r="C1074" s="5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</row>
    <row r="1075" spans="1:22">
      <c r="A1075" s="5"/>
      <c r="B1075" s="5"/>
      <c r="C1075" s="5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</row>
    <row r="1076" spans="1:22">
      <c r="A1076" s="5"/>
      <c r="B1076" s="5"/>
      <c r="C1076" s="5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</row>
    <row r="1077" spans="1:22">
      <c r="A1077" s="5"/>
      <c r="B1077" s="5"/>
      <c r="C1077" s="5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</row>
    <row r="1078" spans="1:22">
      <c r="A1078" s="5"/>
      <c r="B1078" s="5"/>
      <c r="C1078" s="5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</row>
    <row r="1079" spans="1:22">
      <c r="A1079" s="5"/>
      <c r="B1079" s="5"/>
      <c r="C1079" s="5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</row>
    <row r="1080" spans="1:22">
      <c r="A1080" s="5"/>
      <c r="B1080" s="5"/>
      <c r="C1080" s="5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</row>
    <row r="1081" spans="1:22">
      <c r="A1081" s="5"/>
      <c r="B1081" s="5"/>
      <c r="C1081" s="5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</row>
    <row r="1082" spans="1:22">
      <c r="A1082" s="5"/>
      <c r="B1082" s="5"/>
      <c r="C1082" s="5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spans="1:22">
      <c r="A1083" s="5"/>
      <c r="B1083" s="5"/>
      <c r="C1083" s="5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</row>
    <row r="1084" spans="1:22">
      <c r="A1084" s="5"/>
      <c r="B1084" s="5"/>
      <c r="C1084" s="5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</row>
    <row r="1085" spans="1:22">
      <c r="A1085" s="5"/>
      <c r="B1085" s="5"/>
      <c r="C1085" s="5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</row>
    <row r="1086" spans="1:22">
      <c r="A1086" s="5"/>
      <c r="B1086" s="5"/>
      <c r="C1086" s="5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</row>
    <row r="1087" spans="1:22">
      <c r="A1087" s="5"/>
      <c r="B1087" s="5"/>
      <c r="C1087" s="5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</row>
    <row r="1088" spans="1:22">
      <c r="A1088" s="5"/>
      <c r="B1088" s="5"/>
      <c r="C1088" s="5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</row>
    <row r="1089" spans="1:22">
      <c r="A1089" s="5"/>
      <c r="B1089" s="5"/>
      <c r="C1089" s="5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</row>
    <row r="1090" spans="1:22">
      <c r="A1090" s="5"/>
      <c r="B1090" s="5"/>
      <c r="C1090" s="5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</row>
    <row r="1091" spans="1:22">
      <c r="A1091" s="5"/>
      <c r="B1091" s="5"/>
      <c r="C1091" s="5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</row>
    <row r="1092" spans="1:22">
      <c r="A1092" s="5"/>
      <c r="B1092" s="5"/>
      <c r="C1092" s="5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</row>
    <row r="1093" spans="1:22">
      <c r="A1093" s="5"/>
      <c r="B1093" s="5"/>
      <c r="C1093" s="5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</row>
    <row r="1094" spans="1:22">
      <c r="A1094" s="5"/>
      <c r="B1094" s="5"/>
      <c r="C1094" s="5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</row>
    <row r="1095" spans="1:22">
      <c r="A1095" s="5"/>
      <c r="B1095" s="5"/>
      <c r="C1095" s="5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</row>
    <row r="1096" spans="1:22">
      <c r="A1096" s="5"/>
      <c r="B1096" s="5"/>
      <c r="C1096" s="5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spans="1:22">
      <c r="A1097" s="5"/>
      <c r="B1097" s="5"/>
      <c r="C1097" s="5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</row>
    <row r="1098" spans="1:22">
      <c r="A1098" s="5"/>
      <c r="B1098" s="5"/>
      <c r="C1098" s="5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</row>
    <row r="1099" spans="1:22">
      <c r="A1099" s="5"/>
      <c r="B1099" s="5"/>
      <c r="C1099" s="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</row>
    <row r="1100" spans="1:22">
      <c r="A1100" s="5"/>
      <c r="B1100" s="5"/>
      <c r="C1100" s="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</row>
    <row r="1101" spans="1:22">
      <c r="A1101" s="5"/>
      <c r="B1101" s="5"/>
      <c r="C1101" s="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</row>
    <row r="1102" spans="1:22">
      <c r="A1102" s="5"/>
      <c r="B1102" s="5"/>
      <c r="C1102" s="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</row>
    <row r="1103" spans="1:22">
      <c r="A1103" s="5"/>
      <c r="B1103" s="5"/>
      <c r="C1103" s="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</row>
    <row r="1104" spans="1:22">
      <c r="A1104" s="5"/>
      <c r="B1104" s="5"/>
      <c r="C1104" s="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</row>
    <row r="1105" spans="1:22">
      <c r="A1105" s="5"/>
      <c r="B1105" s="5"/>
      <c r="C1105" s="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</row>
    <row r="1106" spans="1:22">
      <c r="A1106" s="5"/>
      <c r="B1106" s="5"/>
      <c r="C1106" s="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</row>
    <row r="1107" spans="1:22">
      <c r="A1107" s="5"/>
      <c r="B1107" s="5"/>
      <c r="C1107" s="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</row>
    <row r="1108" spans="1:22">
      <c r="A1108" s="5"/>
      <c r="B1108" s="5"/>
      <c r="C1108" s="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</row>
    <row r="1109" spans="1:22">
      <c r="A1109" s="5"/>
      <c r="B1109" s="5"/>
      <c r="C1109" s="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</row>
    <row r="1110" spans="1:22">
      <c r="A1110" s="5"/>
      <c r="B1110" s="5"/>
      <c r="C1110" s="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</row>
    <row r="1111" spans="1:22">
      <c r="A1111" s="5"/>
      <c r="B1111" s="5"/>
      <c r="C1111" s="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</row>
    <row r="1112" spans="1:22">
      <c r="A1112" s="5"/>
      <c r="B1112" s="5"/>
      <c r="C1112" s="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</row>
    <row r="1113" spans="1:22">
      <c r="A1113" s="5"/>
      <c r="B1113" s="5"/>
      <c r="C1113" s="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</row>
    <row r="1114" spans="1:22">
      <c r="A1114" s="5"/>
      <c r="B1114" s="5"/>
      <c r="C1114" s="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</row>
    <row r="1115" spans="1:22">
      <c r="A1115" s="5"/>
      <c r="B1115" s="5"/>
      <c r="C1115" s="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</row>
    <row r="1116" spans="1:22">
      <c r="A1116" s="5"/>
      <c r="B1116" s="5"/>
      <c r="C1116" s="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</row>
    <row r="1117" spans="1:22">
      <c r="A1117" s="5"/>
      <c r="B1117" s="5"/>
      <c r="C1117" s="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</row>
    <row r="1118" spans="1:22">
      <c r="A1118" s="5"/>
      <c r="B1118" s="5"/>
      <c r="C1118" s="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</row>
    <row r="1119" spans="1:22">
      <c r="A1119" s="5"/>
      <c r="B1119" s="5"/>
      <c r="C1119" s="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</row>
    <row r="1120" spans="1:22">
      <c r="A1120" s="5"/>
      <c r="B1120" s="5"/>
      <c r="C1120" s="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</row>
    <row r="1121" spans="1:22">
      <c r="A1121" s="5"/>
      <c r="B1121" s="5"/>
      <c r="C1121" s="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</row>
    <row r="1122" spans="1:22">
      <c r="A1122" s="5"/>
      <c r="B1122" s="5"/>
      <c r="C1122" s="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</row>
    <row r="1123" spans="1:22">
      <c r="A1123" s="5"/>
      <c r="B1123" s="5"/>
      <c r="C1123" s="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</row>
    <row r="1124" spans="1:22">
      <c r="A1124" s="5"/>
      <c r="B1124" s="5"/>
      <c r="C1124" s="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</row>
    <row r="1125" spans="1:22">
      <c r="A1125" s="5"/>
      <c r="B1125" s="5"/>
      <c r="C1125" s="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</row>
    <row r="1126" spans="1:22">
      <c r="A1126" s="5"/>
      <c r="B1126" s="5"/>
      <c r="C1126" s="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</row>
    <row r="1127" spans="1:22">
      <c r="A1127" s="5"/>
      <c r="B1127" s="5"/>
      <c r="C1127" s="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</row>
    <row r="1128" spans="1:22">
      <c r="A1128" s="5"/>
      <c r="B1128" s="5"/>
      <c r="C1128" s="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</row>
    <row r="1129" spans="1:22">
      <c r="A1129" s="5"/>
      <c r="B1129" s="5"/>
      <c r="C1129" s="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</row>
    <row r="1130" spans="1:22">
      <c r="A1130" s="5"/>
      <c r="B1130" s="5"/>
      <c r="C1130" s="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</row>
    <row r="1131" spans="1:22">
      <c r="A1131" s="5"/>
      <c r="B1131" s="5"/>
      <c r="C1131" s="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</row>
    <row r="1132" spans="1:22">
      <c r="A1132" s="5"/>
      <c r="B1132" s="5"/>
      <c r="C1132" s="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</row>
    <row r="1133" spans="1:22">
      <c r="A1133" s="5"/>
      <c r="B1133" s="5"/>
      <c r="C1133" s="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</row>
    <row r="1134" spans="1:22">
      <c r="A1134" s="5"/>
      <c r="B1134" s="5"/>
      <c r="C1134" s="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</row>
    <row r="1135" spans="1:22">
      <c r="A1135" s="5"/>
      <c r="B1135" s="5"/>
      <c r="C1135" s="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</row>
    <row r="1136" spans="1:22">
      <c r="A1136" s="5"/>
      <c r="B1136" s="5"/>
      <c r="C1136" s="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</row>
    <row r="1137" spans="1:22">
      <c r="A1137" s="5"/>
      <c r="B1137" s="5"/>
      <c r="C1137" s="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</row>
    <row r="1138" spans="1:22">
      <c r="A1138" s="5"/>
      <c r="B1138" s="5"/>
      <c r="C1138" s="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</row>
    <row r="1139" spans="1:22">
      <c r="A1139" s="5"/>
      <c r="B1139" s="5"/>
      <c r="C1139" s="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</row>
    <row r="1140" spans="1:22">
      <c r="A1140" s="5"/>
      <c r="B1140" s="5"/>
      <c r="C1140" s="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</row>
    <row r="1141" spans="1:22">
      <c r="A1141" s="5"/>
      <c r="B1141" s="5"/>
      <c r="C1141" s="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</row>
    <row r="1142" spans="1:22">
      <c r="A1142" s="5"/>
      <c r="B1142" s="5"/>
      <c r="C1142" s="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</row>
    <row r="1143" spans="1:22">
      <c r="A1143" s="5"/>
      <c r="B1143" s="5"/>
      <c r="C1143" s="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</row>
    <row r="1144" spans="1:22">
      <c r="A1144" s="5"/>
      <c r="B1144" s="5"/>
      <c r="C1144" s="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</row>
    <row r="1145" spans="1:22">
      <c r="A1145" s="5"/>
      <c r="B1145" s="5"/>
      <c r="C1145" s="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</row>
    <row r="1146" spans="1:22">
      <c r="A1146" s="5"/>
      <c r="B1146" s="5"/>
      <c r="C1146" s="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</row>
    <row r="1147" spans="1:22">
      <c r="A1147" s="5"/>
      <c r="B1147" s="5"/>
      <c r="C1147" s="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</row>
    <row r="1148" spans="1:22">
      <c r="A1148" s="5"/>
      <c r="B1148" s="5"/>
      <c r="C1148" s="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</row>
    <row r="1149" spans="1:22">
      <c r="A1149" s="5"/>
      <c r="B1149" s="5"/>
      <c r="C1149" s="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</row>
    <row r="1150" spans="1:22">
      <c r="A1150" s="5"/>
      <c r="B1150" s="5"/>
      <c r="C1150" s="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</row>
    <row r="1151" spans="1:22">
      <c r="A1151" s="5"/>
      <c r="B1151" s="5"/>
      <c r="C1151" s="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</row>
    <row r="1152" spans="1:22">
      <c r="A1152" s="5"/>
      <c r="B1152" s="5"/>
      <c r="C1152" s="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</row>
    <row r="1153" spans="1:22">
      <c r="A1153" s="5"/>
      <c r="B1153" s="5"/>
      <c r="C1153" s="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</row>
    <row r="1154" spans="1:22">
      <c r="A1154" s="5"/>
      <c r="B1154" s="5"/>
      <c r="C1154" s="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</row>
    <row r="1155" spans="1:22">
      <c r="A1155" s="5"/>
      <c r="B1155" s="5"/>
      <c r="C1155" s="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</row>
    <row r="1156" spans="1:22">
      <c r="A1156" s="5"/>
      <c r="B1156" s="5"/>
      <c r="C1156" s="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</row>
    <row r="1157" spans="1:22">
      <c r="A1157" s="5"/>
      <c r="B1157" s="5"/>
      <c r="C1157" s="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</row>
    <row r="1158" spans="1:22">
      <c r="A1158" s="5"/>
      <c r="B1158" s="5"/>
      <c r="C1158" s="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</row>
    <row r="1159" spans="1:22">
      <c r="A1159" s="5"/>
      <c r="B1159" s="5"/>
      <c r="C1159" s="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</row>
    <row r="1160" spans="1:22">
      <c r="A1160" s="5"/>
      <c r="B1160" s="5"/>
      <c r="C1160" s="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</row>
    <row r="1161" spans="1:22">
      <c r="A1161" s="5"/>
      <c r="B1161" s="5"/>
      <c r="C1161" s="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</row>
    <row r="1162" spans="1:22">
      <c r="A1162" s="5"/>
      <c r="B1162" s="5"/>
      <c r="C1162" s="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</row>
    <row r="1163" spans="1:22">
      <c r="A1163" s="5"/>
      <c r="B1163" s="5"/>
      <c r="C1163" s="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</row>
    <row r="1164" spans="1:22">
      <c r="A1164" s="5"/>
      <c r="B1164" s="5"/>
      <c r="C1164" s="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</row>
    <row r="1165" spans="1:22">
      <c r="A1165" s="5"/>
      <c r="B1165" s="5"/>
      <c r="C1165" s="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</row>
    <row r="1166" spans="1:22">
      <c r="A1166" s="5"/>
      <c r="B1166" s="5"/>
      <c r="C1166" s="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</row>
    <row r="1167" spans="1:22">
      <c r="A1167" s="5"/>
      <c r="B1167" s="5"/>
      <c r="C1167" s="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</row>
    <row r="1168" spans="1:22">
      <c r="A1168" s="5"/>
      <c r="B1168" s="5"/>
      <c r="C1168" s="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</row>
    <row r="1169" spans="1:22">
      <c r="A1169" s="5"/>
      <c r="B1169" s="5"/>
      <c r="C1169" s="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</row>
    <row r="1170" spans="1:22">
      <c r="A1170" s="5"/>
      <c r="B1170" s="5"/>
      <c r="C1170" s="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</row>
    <row r="1171" spans="1:22">
      <c r="A1171" s="5"/>
      <c r="B1171" s="5"/>
      <c r="C1171" s="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</row>
    <row r="1172" spans="1:22">
      <c r="A1172" s="5"/>
      <c r="B1172" s="5"/>
      <c r="C1172" s="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</row>
    <row r="1173" spans="1:22">
      <c r="A1173" s="5"/>
      <c r="B1173" s="5"/>
      <c r="C1173" s="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</row>
    <row r="1174" spans="1:22">
      <c r="A1174" s="5"/>
      <c r="B1174" s="5"/>
      <c r="C1174" s="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</row>
    <row r="1175" spans="1:22">
      <c r="A1175" s="5"/>
      <c r="B1175" s="5"/>
      <c r="C1175" s="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</row>
    <row r="1176" spans="1:22">
      <c r="A1176" s="5"/>
      <c r="B1176" s="5"/>
      <c r="C1176" s="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</row>
    <row r="1177" spans="1:22">
      <c r="A1177" s="5"/>
      <c r="B1177" s="5"/>
      <c r="C1177" s="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</row>
    <row r="1178" spans="1:22">
      <c r="A1178" s="5"/>
      <c r="B1178" s="5"/>
      <c r="C1178" s="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</row>
    <row r="1179" spans="1:22">
      <c r="A1179" s="5"/>
      <c r="B1179" s="5"/>
      <c r="C1179" s="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</row>
    <row r="1180" spans="1:22">
      <c r="A1180" s="5"/>
      <c r="B1180" s="5"/>
      <c r="C1180" s="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</row>
    <row r="1181" spans="1:22">
      <c r="A1181" s="5"/>
      <c r="B1181" s="5"/>
      <c r="C1181" s="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</row>
    <row r="1182" spans="1:22">
      <c r="A1182" s="5"/>
      <c r="B1182" s="5"/>
      <c r="C1182" s="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</row>
    <row r="1183" spans="1:22">
      <c r="A1183" s="5"/>
      <c r="B1183" s="5"/>
      <c r="C1183" s="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</row>
    <row r="1184" spans="1:22">
      <c r="A1184" s="5"/>
      <c r="B1184" s="5"/>
      <c r="C1184" s="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</row>
    <row r="1185" spans="1:22">
      <c r="A1185" s="5"/>
      <c r="B1185" s="5"/>
      <c r="C1185" s="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</row>
    <row r="1186" spans="1:22">
      <c r="A1186" s="5"/>
      <c r="B1186" s="5"/>
      <c r="C1186" s="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</row>
    <row r="1187" spans="1:22">
      <c r="A1187" s="5"/>
      <c r="B1187" s="5"/>
      <c r="C1187" s="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</row>
    <row r="1188" spans="1:22">
      <c r="A1188" s="5"/>
      <c r="B1188" s="5"/>
      <c r="C1188" s="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</row>
    <row r="1189" spans="1:22">
      <c r="A1189" s="5"/>
      <c r="B1189" s="5"/>
      <c r="C1189" s="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</row>
    <row r="1190" spans="1:22">
      <c r="A1190" s="5"/>
      <c r="B1190" s="5"/>
      <c r="C1190" s="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</row>
    <row r="1191" spans="1:22">
      <c r="A1191" s="5"/>
      <c r="B1191" s="5"/>
      <c r="C1191" s="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</row>
    <row r="1192" spans="1:22">
      <c r="A1192" s="5"/>
      <c r="B1192" s="5"/>
      <c r="C1192" s="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</row>
    <row r="1193" spans="1:22">
      <c r="A1193" s="5"/>
      <c r="B1193" s="5"/>
      <c r="C1193" s="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</row>
    <row r="1194" spans="1:22">
      <c r="A1194" s="5"/>
      <c r="B1194" s="5"/>
      <c r="C1194" s="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</row>
    <row r="1195" spans="1:22">
      <c r="A1195" s="5"/>
      <c r="B1195" s="5"/>
      <c r="C1195" s="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</row>
    <row r="1196" spans="1:22">
      <c r="A1196" s="5"/>
      <c r="B1196" s="5"/>
      <c r="C1196" s="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</row>
    <row r="1197" spans="1:22">
      <c r="A1197" s="5"/>
      <c r="B1197" s="5"/>
      <c r="C1197" s="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</row>
    <row r="1198" spans="1:22">
      <c r="A1198" s="5"/>
      <c r="B1198" s="5"/>
      <c r="C1198" s="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</row>
    <row r="1199" spans="1:22">
      <c r="A1199" s="5"/>
      <c r="B1199" s="5"/>
      <c r="C1199" s="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</row>
    <row r="1200" spans="1:22">
      <c r="A1200" s="5"/>
      <c r="B1200" s="5"/>
      <c r="C1200" s="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</row>
    <row r="1201" spans="1:22">
      <c r="A1201" s="5"/>
      <c r="B1201" s="5"/>
      <c r="C1201" s="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</row>
    <row r="1202" spans="1:22">
      <c r="A1202" s="5"/>
      <c r="B1202" s="5"/>
      <c r="C1202" s="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</row>
    <row r="1203" spans="1:22">
      <c r="A1203" s="5"/>
      <c r="B1203" s="5"/>
      <c r="C1203" s="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</row>
    <row r="1204" spans="1:22">
      <c r="A1204" s="5"/>
      <c r="B1204" s="5"/>
      <c r="C1204" s="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</row>
    <row r="1205" spans="1:22">
      <c r="A1205" s="5"/>
      <c r="B1205" s="5"/>
      <c r="C1205" s="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</row>
    <row r="1206" spans="1:22">
      <c r="A1206" s="5"/>
      <c r="B1206" s="5"/>
      <c r="C1206" s="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</row>
    <row r="1207" spans="1:22">
      <c r="A1207" s="5"/>
      <c r="B1207" s="5"/>
      <c r="C1207" s="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</row>
    <row r="1208" spans="1:22">
      <c r="A1208" s="5"/>
      <c r="B1208" s="5"/>
      <c r="C1208" s="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</row>
    <row r="1209" spans="1:22">
      <c r="A1209" s="5"/>
      <c r="B1209" s="5"/>
      <c r="C1209" s="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</row>
    <row r="1210" spans="1:22">
      <c r="A1210" s="5"/>
      <c r="B1210" s="5"/>
      <c r="C1210" s="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</row>
    <row r="1211" spans="1:22">
      <c r="A1211" s="5"/>
      <c r="B1211" s="5"/>
      <c r="C1211" s="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</row>
    <row r="1212" spans="1:22">
      <c r="A1212" s="5"/>
      <c r="B1212" s="5"/>
      <c r="C1212" s="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</row>
    <row r="1213" spans="1:22">
      <c r="A1213" s="5"/>
      <c r="B1213" s="5"/>
      <c r="C1213" s="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</row>
    <row r="1214" spans="1:22">
      <c r="A1214" s="5"/>
      <c r="B1214" s="5"/>
      <c r="C1214" s="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</row>
    <row r="1215" spans="1:22">
      <c r="A1215" s="5"/>
      <c r="B1215" s="5"/>
      <c r="C1215" s="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</row>
    <row r="1216" spans="1:22">
      <c r="A1216" s="5"/>
      <c r="B1216" s="5"/>
      <c r="C1216" s="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</row>
    <row r="1217" spans="1:22">
      <c r="A1217" s="5"/>
      <c r="B1217" s="5"/>
      <c r="C1217" s="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</row>
    <row r="1218" spans="1:22">
      <c r="A1218" s="5"/>
      <c r="B1218" s="5"/>
      <c r="C1218" s="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</row>
    <row r="1219" spans="1:22">
      <c r="A1219" s="5"/>
      <c r="B1219" s="5"/>
      <c r="C1219" s="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</row>
    <row r="1220" spans="1:22">
      <c r="A1220" s="5"/>
      <c r="B1220" s="5"/>
      <c r="C1220" s="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</row>
    <row r="1221" spans="1:22">
      <c r="A1221" s="5"/>
      <c r="B1221" s="5"/>
      <c r="C1221" s="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</row>
    <row r="1222" spans="1:22">
      <c r="A1222" s="5"/>
      <c r="B1222" s="5"/>
      <c r="C1222" s="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</row>
    <row r="1223" spans="1:22">
      <c r="A1223" s="5"/>
      <c r="B1223" s="5"/>
      <c r="C1223" s="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</row>
    <row r="1224" spans="1:22">
      <c r="A1224" s="5"/>
      <c r="B1224" s="5"/>
      <c r="C1224" s="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</row>
    <row r="1225" spans="1:22">
      <c r="A1225" s="5"/>
      <c r="B1225" s="5"/>
      <c r="C1225" s="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</row>
    <row r="1226" spans="1:22">
      <c r="A1226" s="5"/>
      <c r="B1226" s="5"/>
      <c r="C1226" s="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</row>
    <row r="1227" spans="1:22">
      <c r="A1227" s="5"/>
      <c r="B1227" s="5"/>
      <c r="C1227" s="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</row>
    <row r="1228" spans="1:22">
      <c r="A1228" s="5"/>
      <c r="B1228" s="5"/>
      <c r="C1228" s="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</row>
    <row r="1229" spans="1:22">
      <c r="A1229" s="5"/>
      <c r="B1229" s="5"/>
      <c r="C1229" s="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</row>
    <row r="1230" spans="1:22">
      <c r="A1230" s="5"/>
      <c r="B1230" s="5"/>
      <c r="C1230" s="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</row>
  </sheetData>
  <mergeCells count="10">
    <mergeCell ref="A4:D4"/>
    <mergeCell ref="T4:AB4"/>
    <mergeCell ref="N5:P5"/>
    <mergeCell ref="Q5:S5"/>
    <mergeCell ref="T5:V5"/>
    <mergeCell ref="W5:Y5"/>
    <mergeCell ref="Z5:AB5"/>
    <mergeCell ref="K5:M5"/>
    <mergeCell ref="H5:J5"/>
    <mergeCell ref="E5:G5"/>
  </mergeCells>
  <phoneticPr fontId="4" type="noConversion"/>
  <pageMargins left="0.55118110236220474" right="0.74803149606299213" top="0.4" bottom="0.38" header="0.39" footer="0.17"/>
  <pageSetup paperSize="9" scale="80" orientation="landscape" horizontalDpi="4294967293" r:id="rId1"/>
  <headerFooter alignWithMargins="0">
    <oddFooter>&amp;C&amp;P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지출목적분류별 품목 및 가중치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2016-11-17T09:06:02Z</dcterms:created>
  <dcterms:modified xsi:type="dcterms:W3CDTF">2023-12-20T06:26:30Z</dcterms:modified>
</cp:coreProperties>
</file>